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lia\Downloads\"/>
    </mc:Choice>
  </mc:AlternateContent>
  <xr:revisionPtr revIDLastSave="0" documentId="13_ncr:1_{43BC1A97-7A3A-452A-B1B5-5BF991D87729}" xr6:coauthVersionLast="47" xr6:coauthVersionMax="47" xr10:uidLastSave="{00000000-0000-0000-0000-000000000000}"/>
  <bookViews>
    <workbookView xWindow="760" yWindow="760" windowWidth="23980" windowHeight="14920" xr2:uid="{00000000-000D-0000-FFFF-FFFF00000000}"/>
  </bookViews>
  <sheets>
    <sheet name="testData" sheetId="2" r:id="rId1"/>
    <sheet name="Copy of 2026" sheetId="4" state="hidden" r:id="rId2"/>
  </sheets>
  <definedNames>
    <definedName name="HolidayDay" localSheetId="1">'Copy of 2026'!$N$9</definedName>
    <definedName name="HolidayDay" localSheetId="0">testData!$N$9</definedName>
    <definedName name="HolidayDay">#REF!</definedName>
    <definedName name="month_1" localSheetId="1">'Copy of 2026'!$R$22</definedName>
    <definedName name="month_1" localSheetId="0">testData!$R$22</definedName>
    <definedName name="month_1">#REF!</definedName>
    <definedName name="month_10" localSheetId="1">'Copy of 2026'!$Z$44</definedName>
    <definedName name="month_10" localSheetId="0">testData!$Z$44</definedName>
    <definedName name="month_10">#REF!</definedName>
    <definedName name="month_11" localSheetId="1">'Copy of 2026'!$AH$44</definedName>
    <definedName name="month_11" localSheetId="0">testData!$AH$44</definedName>
    <definedName name="month_11">#REF!</definedName>
    <definedName name="month_12" localSheetId="1">'Copy of 2026'!$AP$44</definedName>
    <definedName name="month_12" localSheetId="0">testData!$AP$44</definedName>
    <definedName name="month_12">#REF!</definedName>
    <definedName name="month_2" localSheetId="1">'Copy of 2026'!$Z$22</definedName>
    <definedName name="month_2" localSheetId="0">testData!$Z$22</definedName>
    <definedName name="month_2">#REF!</definedName>
    <definedName name="month_3" localSheetId="1">'Copy of 2026'!$AH$22</definedName>
    <definedName name="month_3" localSheetId="0">testData!$AH$22</definedName>
    <definedName name="month_3">#REF!</definedName>
    <definedName name="month_4" localSheetId="1">'Copy of 2026'!$AP$22</definedName>
    <definedName name="month_4" localSheetId="0">testData!$AP$22</definedName>
    <definedName name="month_4">#REF!</definedName>
    <definedName name="month_5" localSheetId="1">'Copy of 2026'!$R$33</definedName>
    <definedName name="month_5" localSheetId="0">testData!$R$33</definedName>
    <definedName name="month_5">#REF!</definedName>
    <definedName name="month_6" localSheetId="1">'Copy of 2026'!$Z$33</definedName>
    <definedName name="month_6" localSheetId="0">testData!$Z$33</definedName>
    <definedName name="month_6">#REF!</definedName>
    <definedName name="month_7" localSheetId="1">'Copy of 2026'!$AH$33</definedName>
    <definedName name="month_7" localSheetId="0">testData!$AH$33</definedName>
    <definedName name="month_7">#REF!</definedName>
    <definedName name="month_8" localSheetId="1">'Copy of 2026'!$AP$33</definedName>
    <definedName name="month_8" localSheetId="0">testData!$AP$33</definedName>
    <definedName name="month_8">#REF!</definedName>
    <definedName name="month_9" localSheetId="1">'Copy of 2026'!$R$44</definedName>
    <definedName name="month_9" localSheetId="0">testData!$R$44</definedName>
    <definedName name="month_9">#REF!</definedName>
    <definedName name="OfficeDay" localSheetId="1">'Copy of 2026'!$N$7</definedName>
    <definedName name="OfficeDay" localSheetId="0">testData!$N$7</definedName>
    <definedName name="OfficeDay">#REF!</definedName>
    <definedName name="OnCallOffDay" localSheetId="1">'Copy of 2026'!$N$10</definedName>
    <definedName name="OnCallOffDay" localSheetId="0">testData!$N$10</definedName>
    <definedName name="OnCallOffDay">#REF!</definedName>
    <definedName name="testing" localSheetId="1">'Copy of 2026'!$D$14:$H$17</definedName>
    <definedName name="testing" localSheetId="0">testData!$D$14:$H$17</definedName>
    <definedName name="testing">#REF!</definedName>
    <definedName name="VacationDay" localSheetId="1">'Copy of 2026'!$N$8</definedName>
    <definedName name="VacationDay" localSheetId="0">testData!$N$8</definedName>
    <definedName name="VacationDay">#REF!</definedName>
    <definedName name="WW_first_1" localSheetId="1">'Copy of 2026'!$Q$27</definedName>
    <definedName name="WW_first_1" localSheetId="0">testData!$Q$27</definedName>
    <definedName name="WW_first_1">#REF!</definedName>
    <definedName name="WW_first_10" localSheetId="1">'Copy of 2026'!$Y$49</definedName>
    <definedName name="WW_first_10" localSheetId="0">testData!$Y$49</definedName>
    <definedName name="WW_first_10">#REF!</definedName>
    <definedName name="WW_first_11" localSheetId="1">'Copy of 2026'!$AG$49</definedName>
    <definedName name="WW_first_11" localSheetId="0">testData!$AG$49</definedName>
    <definedName name="WW_first_11">#REF!</definedName>
    <definedName name="WW_first_12" localSheetId="1">'Copy of 2026'!$AO$49</definedName>
    <definedName name="WW_first_12" localSheetId="0">testData!$AO$49</definedName>
    <definedName name="WW_first_12">#REF!</definedName>
    <definedName name="WW_first_2" localSheetId="1">'Copy of 2026'!$Y$27</definedName>
    <definedName name="WW_first_2" localSheetId="0">testData!$Y$27</definedName>
    <definedName name="WW_first_2">#REF!</definedName>
    <definedName name="WW_first_3" localSheetId="1">'Copy of 2026'!$AG$27</definedName>
    <definedName name="WW_first_3" localSheetId="0">testData!$AG$27</definedName>
    <definedName name="WW_first_3">#REF!</definedName>
    <definedName name="WW_first_4" localSheetId="1">'Copy of 2026'!$AO$27</definedName>
    <definedName name="WW_first_4" localSheetId="0">testData!$AO$27</definedName>
    <definedName name="WW_first_4">#REF!</definedName>
    <definedName name="WW_first_5" localSheetId="1">'Copy of 2026'!$Q$38</definedName>
    <definedName name="WW_first_5" localSheetId="0">testData!$Q$38</definedName>
    <definedName name="WW_first_5">#REF!</definedName>
    <definedName name="WW_first_6" localSheetId="1">'Copy of 2026'!$Y$38</definedName>
    <definedName name="WW_first_6" localSheetId="0">testData!$Y$38</definedName>
    <definedName name="WW_first_6">#REF!</definedName>
    <definedName name="WW_first_7" localSheetId="1">'Copy of 2026'!$AG$38</definedName>
    <definedName name="WW_first_7" localSheetId="0">testData!$AG$38</definedName>
    <definedName name="WW_first_7">#REF!</definedName>
    <definedName name="WW_first_8" localSheetId="1">'Copy of 2026'!$AO$38</definedName>
    <definedName name="WW_first_8" localSheetId="0">testData!$AO$38</definedName>
    <definedName name="WW_first_8">#REF!</definedName>
    <definedName name="WW_first_9" localSheetId="1">'Copy of 2026'!$Q$49</definedName>
    <definedName name="WW_first_9" localSheetId="0">testData!$Q$49</definedName>
    <definedName name="WW_first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" i="4" l="1"/>
  <c r="O66" i="4"/>
  <c r="N66" i="4" s="1"/>
  <c r="M66" i="4"/>
  <c r="L66" i="4"/>
  <c r="K66" i="4"/>
  <c r="A66" i="4"/>
  <c r="P65" i="4"/>
  <c r="O65" i="4"/>
  <c r="N65" i="4" s="1"/>
  <c r="M65" i="4"/>
  <c r="L65" i="4"/>
  <c r="K65" i="4"/>
  <c r="A65" i="4"/>
  <c r="P64" i="4"/>
  <c r="O64" i="4"/>
  <c r="N64" i="4" s="1"/>
  <c r="M64" i="4"/>
  <c r="L64" i="4"/>
  <c r="K64" i="4"/>
  <c r="A64" i="4"/>
  <c r="P63" i="4"/>
  <c r="O63" i="4"/>
  <c r="M63" i="4"/>
  <c r="L63" i="4"/>
  <c r="K63" i="4"/>
  <c r="A63" i="4"/>
  <c r="P62" i="4"/>
  <c r="O62" i="4"/>
  <c r="N62" i="4" s="1"/>
  <c r="M62" i="4"/>
  <c r="L62" i="4"/>
  <c r="K62" i="4"/>
  <c r="A62" i="4"/>
  <c r="P61" i="4"/>
  <c r="O61" i="4"/>
  <c r="N61" i="4" s="1"/>
  <c r="M61" i="4"/>
  <c r="L61" i="4"/>
  <c r="K61" i="4"/>
  <c r="A61" i="4"/>
  <c r="P60" i="4"/>
  <c r="O60" i="4"/>
  <c r="M60" i="4"/>
  <c r="L60" i="4"/>
  <c r="K60" i="4"/>
  <c r="A60" i="4"/>
  <c r="P59" i="4"/>
  <c r="O59" i="4"/>
  <c r="M59" i="4"/>
  <c r="L59" i="4"/>
  <c r="K59" i="4"/>
  <c r="A59" i="4"/>
  <c r="P58" i="4"/>
  <c r="O58" i="4"/>
  <c r="M58" i="4"/>
  <c r="L58" i="4"/>
  <c r="K58" i="4"/>
  <c r="A58" i="4"/>
  <c r="P57" i="4"/>
  <c r="O57" i="4"/>
  <c r="N57" i="4" s="1"/>
  <c r="M57" i="4"/>
  <c r="A57" i="4"/>
  <c r="P56" i="4"/>
  <c r="M56" i="4"/>
  <c r="L56" i="4"/>
  <c r="A56" i="4"/>
  <c r="K55" i="4"/>
  <c r="A55" i="4"/>
  <c r="M54" i="4"/>
  <c r="L54" i="4"/>
  <c r="A54" i="4"/>
  <c r="P53" i="4"/>
  <c r="O53" i="4"/>
  <c r="N53" i="4" s="1"/>
  <c r="A53" i="4"/>
  <c r="A52" i="4"/>
  <c r="K51" i="4"/>
  <c r="A51" i="4"/>
  <c r="L50" i="4"/>
  <c r="A50" i="4"/>
  <c r="A49" i="4"/>
  <c r="M48" i="4"/>
  <c r="L48" i="4"/>
  <c r="A48" i="4"/>
  <c r="K47" i="4"/>
  <c r="A47" i="4"/>
  <c r="A46" i="4"/>
  <c r="A45" i="4"/>
  <c r="K56" i="4" s="1"/>
  <c r="P44" i="4"/>
  <c r="A44" i="4"/>
  <c r="A43" i="4"/>
  <c r="A42" i="4"/>
  <c r="A41" i="4"/>
  <c r="A40" i="4"/>
  <c r="A39" i="4"/>
  <c r="A38" i="4"/>
  <c r="A37" i="4"/>
  <c r="M46" i="4" s="1"/>
  <c r="A36" i="4"/>
  <c r="M45" i="4" s="1"/>
  <c r="A35" i="4"/>
  <c r="M44" i="4" s="1"/>
  <c r="A34" i="4"/>
  <c r="O44" i="4" s="1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K20" i="4"/>
  <c r="A20" i="4"/>
  <c r="AK19" i="4"/>
  <c r="A19" i="4"/>
  <c r="AK18" i="4"/>
  <c r="A18" i="4"/>
  <c r="AK17" i="4"/>
  <c r="A17" i="4"/>
  <c r="AK16" i="4"/>
  <c r="A16" i="4"/>
  <c r="AK15" i="4"/>
  <c r="A15" i="4"/>
  <c r="AK14" i="4"/>
  <c r="A14" i="4"/>
  <c r="P23" i="4" s="1"/>
  <c r="AK13" i="4"/>
  <c r="A13" i="4"/>
  <c r="AK12" i="4"/>
  <c r="A12" i="4"/>
  <c r="AK11" i="4"/>
  <c r="B11" i="4"/>
  <c r="K9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AK10" i="4"/>
  <c r="AK9" i="4"/>
  <c r="A5" i="4"/>
  <c r="A4" i="4"/>
  <c r="A3" i="4"/>
  <c r="A11" i="4"/>
  <c r="A10" i="4"/>
  <c r="A9" i="4"/>
  <c r="A8" i="4"/>
  <c r="A7" i="4"/>
  <c r="O17" i="4" s="1"/>
  <c r="A6" i="4"/>
  <c r="A66" i="2"/>
  <c r="P65" i="2"/>
  <c r="A65" i="2"/>
  <c r="O66" i="2" s="1"/>
  <c r="A64" i="2"/>
  <c r="A63" i="2"/>
  <c r="P62" i="2"/>
  <c r="O62" i="2"/>
  <c r="A62" i="2"/>
  <c r="A61" i="2"/>
  <c r="O64" i="2" s="1"/>
  <c r="N64" i="2" s="1"/>
  <c r="A60" i="2"/>
  <c r="A59" i="2"/>
  <c r="M58" i="2"/>
  <c r="K58" i="2"/>
  <c r="A58" i="2"/>
  <c r="A57" i="2"/>
  <c r="M56" i="2"/>
  <c r="A56" i="2"/>
  <c r="A55" i="2"/>
  <c r="P64" i="2" s="1"/>
  <c r="A54" i="2"/>
  <c r="A53" i="2"/>
  <c r="A52" i="2"/>
  <c r="A51" i="2"/>
  <c r="A50" i="2"/>
  <c r="P59" i="2" s="1"/>
  <c r="A49" i="2"/>
  <c r="A48" i="2"/>
  <c r="P57" i="2" s="1"/>
  <c r="A47" i="2"/>
  <c r="L58" i="2" s="1"/>
  <c r="A46" i="2"/>
  <c r="L55" i="2" s="1"/>
  <c r="A45" i="2"/>
  <c r="A44" i="2"/>
  <c r="A43" i="2"/>
  <c r="A42" i="2"/>
  <c r="A41" i="2"/>
  <c r="A40" i="2"/>
  <c r="A39" i="2"/>
  <c r="A38" i="2"/>
  <c r="A37" i="2"/>
  <c r="P42" i="2" s="1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K20" i="2"/>
  <c r="A20" i="2"/>
  <c r="AK19" i="2"/>
  <c r="A19" i="2"/>
  <c r="AK18" i="2"/>
  <c r="A18" i="2"/>
  <c r="AK17" i="2"/>
  <c r="M17" i="2"/>
  <c r="A17" i="2"/>
  <c r="AK16" i="2"/>
  <c r="A16" i="2"/>
  <c r="AK15" i="2"/>
  <c r="A15" i="2"/>
  <c r="AK14" i="2"/>
  <c r="A14" i="2"/>
  <c r="AK13" i="2"/>
  <c r="A13" i="2"/>
  <c r="AK12" i="2"/>
  <c r="A12" i="2"/>
  <c r="O22" i="2" s="1"/>
  <c r="AK11" i="2"/>
  <c r="B11" i="2"/>
  <c r="K9" i="2" s="1"/>
  <c r="A11" i="2"/>
  <c r="O20" i="2" s="1"/>
  <c r="AK10" i="2"/>
  <c r="A10" i="2"/>
  <c r="AK9" i="2"/>
  <c r="A9" i="2"/>
  <c r="A8" i="2"/>
  <c r="P17" i="2" s="1"/>
  <c r="A7" i="2"/>
  <c r="A6" i="2"/>
  <c r="A5" i="2"/>
  <c r="A4" i="2"/>
  <c r="P13" i="2" s="1"/>
  <c r="A3" i="2"/>
  <c r="A2" i="2"/>
  <c r="L13" i="2" s="1"/>
  <c r="M49" i="2" l="1"/>
  <c r="L54" i="2"/>
  <c r="P58" i="2"/>
  <c r="O52" i="2"/>
  <c r="M54" i="2"/>
  <c r="O56" i="2"/>
  <c r="O59" i="2"/>
  <c r="N59" i="2" s="1"/>
  <c r="P48" i="2"/>
  <c r="L57" i="2"/>
  <c r="L50" i="2"/>
  <c r="K55" i="2"/>
  <c r="M57" i="2"/>
  <c r="P56" i="2"/>
  <c r="K51" i="2"/>
  <c r="P46" i="2"/>
  <c r="L51" i="2"/>
  <c r="O44" i="2"/>
  <c r="O47" i="2"/>
  <c r="P40" i="2"/>
  <c r="P44" i="2"/>
  <c r="N44" i="2" s="1"/>
  <c r="L48" i="2"/>
  <c r="P45" i="2"/>
  <c r="L42" i="2"/>
  <c r="M41" i="2"/>
  <c r="M45" i="2"/>
  <c r="K45" i="2"/>
  <c r="M43" i="2"/>
  <c r="O46" i="2"/>
  <c r="K44" i="2"/>
  <c r="K42" i="2"/>
  <c r="P38" i="2"/>
  <c r="L34" i="2"/>
  <c r="L39" i="2"/>
  <c r="M33" i="2"/>
  <c r="L37" i="2"/>
  <c r="M34" i="2"/>
  <c r="M37" i="2"/>
  <c r="K40" i="2"/>
  <c r="M35" i="2"/>
  <c r="P36" i="2"/>
  <c r="K38" i="2"/>
  <c r="P35" i="2"/>
  <c r="O38" i="2"/>
  <c r="N38" i="2" s="1"/>
  <c r="L41" i="2"/>
  <c r="K35" i="2"/>
  <c r="P29" i="2"/>
  <c r="M32" i="2"/>
  <c r="P25" i="2"/>
  <c r="P33" i="2"/>
  <c r="P34" i="2"/>
  <c r="K25" i="2"/>
  <c r="K36" i="2"/>
  <c r="O34" i="2"/>
  <c r="K29" i="2"/>
  <c r="K34" i="2"/>
  <c r="O36" i="2"/>
  <c r="N36" i="2" s="1"/>
  <c r="P26" i="2"/>
  <c r="L29" i="2"/>
  <c r="O32" i="2"/>
  <c r="K33" i="2"/>
  <c r="K27" i="2"/>
  <c r="M30" i="2"/>
  <c r="L33" i="2"/>
  <c r="M26" i="2"/>
  <c r="L27" i="2"/>
  <c r="O33" i="2"/>
  <c r="L25" i="2"/>
  <c r="L31" i="2"/>
  <c r="O28" i="2"/>
  <c r="P31" i="2"/>
  <c r="M21" i="2"/>
  <c r="P21" i="2"/>
  <c r="L23" i="2"/>
  <c r="O21" i="2"/>
  <c r="N21" i="2" s="1"/>
  <c r="P20" i="2"/>
  <c r="N20" i="2" s="1"/>
  <c r="K22" i="2"/>
  <c r="L21" i="2"/>
  <c r="M20" i="2"/>
  <c r="L22" i="2"/>
  <c r="K16" i="2"/>
  <c r="R22" i="2"/>
  <c r="R9" i="2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A1" i="2"/>
  <c r="K19" i="2"/>
  <c r="K17" i="2"/>
  <c r="M15" i="2"/>
  <c r="O16" i="2"/>
  <c r="L17" i="2"/>
  <c r="P15" i="2"/>
  <c r="M14" i="2"/>
  <c r="L14" i="2"/>
  <c r="M13" i="2"/>
  <c r="O15" i="2"/>
  <c r="K18" i="2"/>
  <c r="L19" i="2"/>
  <c r="K23" i="2"/>
  <c r="O24" i="2"/>
  <c r="P22" i="2"/>
  <c r="N22" i="2" s="1"/>
  <c r="L24" i="2"/>
  <c r="M22" i="2"/>
  <c r="K24" i="2"/>
  <c r="O23" i="2"/>
  <c r="N23" i="2" s="1"/>
  <c r="P14" i="2"/>
  <c r="P18" i="2"/>
  <c r="P16" i="2"/>
  <c r="O17" i="2"/>
  <c r="N17" i="2" s="1"/>
  <c r="L18" i="2"/>
  <c r="M16" i="2"/>
  <c r="P27" i="2"/>
  <c r="O30" i="2"/>
  <c r="L46" i="2"/>
  <c r="K43" i="2"/>
  <c r="M42" i="2"/>
  <c r="P41" i="2"/>
  <c r="K39" i="2"/>
  <c r="M38" i="2"/>
  <c r="K37" i="2"/>
  <c r="K46" i="2"/>
  <c r="M44" i="2"/>
  <c r="O40" i="2"/>
  <c r="L43" i="2"/>
  <c r="P54" i="2"/>
  <c r="P53" i="2"/>
  <c r="P52" i="2"/>
  <c r="N52" i="2" s="1"/>
  <c r="P51" i="2"/>
  <c r="P50" i="2"/>
  <c r="P49" i="2"/>
  <c r="L53" i="2"/>
  <c r="O51" i="2"/>
  <c r="K50" i="2"/>
  <c r="O48" i="2"/>
  <c r="N48" i="2" s="1"/>
  <c r="L47" i="2"/>
  <c r="L56" i="2"/>
  <c r="O54" i="2"/>
  <c r="N54" i="2" s="1"/>
  <c r="K53" i="2"/>
  <c r="M51" i="2"/>
  <c r="M48" i="2"/>
  <c r="K47" i="2"/>
  <c r="O55" i="2"/>
  <c r="K54" i="2"/>
  <c r="M52" i="2"/>
  <c r="L49" i="2"/>
  <c r="L52" i="2"/>
  <c r="O50" i="2"/>
  <c r="K49" i="2"/>
  <c r="P47" i="2"/>
  <c r="N47" i="2" s="1"/>
  <c r="M47" i="2"/>
  <c r="O49" i="2"/>
  <c r="K52" i="2"/>
  <c r="P66" i="2"/>
  <c r="N66" i="2" s="1"/>
  <c r="N62" i="2"/>
  <c r="L20" i="2"/>
  <c r="K20" i="2"/>
  <c r="M18" i="2"/>
  <c r="O19" i="2"/>
  <c r="O18" i="2"/>
  <c r="N18" i="2" s="1"/>
  <c r="M39" i="2"/>
  <c r="O42" i="2"/>
  <c r="N42" i="2" s="1"/>
  <c r="P55" i="2"/>
  <c r="O57" i="2"/>
  <c r="N57" i="2" s="1"/>
  <c r="K57" i="2"/>
  <c r="M55" i="2"/>
  <c r="K48" i="2"/>
  <c r="M50" i="2"/>
  <c r="M53" i="2"/>
  <c r="K13" i="2"/>
  <c r="K14" i="2"/>
  <c r="O13" i="2"/>
  <c r="N13" i="2" s="1"/>
  <c r="M24" i="2"/>
  <c r="O25" i="2"/>
  <c r="N25" i="2" s="1"/>
  <c r="P24" i="2"/>
  <c r="L26" i="2"/>
  <c r="K26" i="2"/>
  <c r="P23" i="2"/>
  <c r="M25" i="2"/>
  <c r="O27" i="2"/>
  <c r="O29" i="2"/>
  <c r="N29" i="2" s="1"/>
  <c r="L28" i="2"/>
  <c r="K28" i="2"/>
  <c r="M27" i="2"/>
  <c r="L30" i="2"/>
  <c r="K30" i="2"/>
  <c r="M29" i="2"/>
  <c r="P28" i="2"/>
  <c r="O31" i="2"/>
  <c r="L32" i="2"/>
  <c r="K32" i="2"/>
  <c r="P30" i="2"/>
  <c r="O26" i="2"/>
  <c r="M28" i="2"/>
  <c r="K31" i="2"/>
  <c r="O53" i="2"/>
  <c r="N53" i="2" s="1"/>
  <c r="K56" i="2"/>
  <c r="L15" i="2"/>
  <c r="M31" i="2"/>
  <c r="L35" i="2"/>
  <c r="L36" i="2"/>
  <c r="O37" i="2"/>
  <c r="O39" i="2"/>
  <c r="L40" i="2"/>
  <c r="O43" i="2"/>
  <c r="L44" i="2"/>
  <c r="L45" i="2"/>
  <c r="L16" i="2"/>
  <c r="O14" i="2"/>
  <c r="N14" i="2" s="1"/>
  <c r="K15" i="2"/>
  <c r="O35" i="2"/>
  <c r="N35" i="2" s="1"/>
  <c r="M36" i="2"/>
  <c r="P37" i="2"/>
  <c r="P39" i="2"/>
  <c r="M40" i="2"/>
  <c r="K41" i="2"/>
  <c r="P43" i="2"/>
  <c r="O45" i="2"/>
  <c r="N45" i="2" s="1"/>
  <c r="P19" i="2"/>
  <c r="K21" i="2"/>
  <c r="M19" i="2"/>
  <c r="M23" i="2"/>
  <c r="P32" i="2"/>
  <c r="M46" i="2"/>
  <c r="L38" i="2"/>
  <c r="O41" i="2"/>
  <c r="O61" i="2"/>
  <c r="P61" i="2"/>
  <c r="O58" i="2"/>
  <c r="N58" i="2" s="1"/>
  <c r="O63" i="2"/>
  <c r="N63" i="2" s="1"/>
  <c r="L59" i="2"/>
  <c r="K59" i="2"/>
  <c r="L60" i="2"/>
  <c r="K60" i="2"/>
  <c r="L61" i="2"/>
  <c r="K61" i="2"/>
  <c r="M60" i="2"/>
  <c r="L62" i="2"/>
  <c r="K62" i="2"/>
  <c r="M61" i="2"/>
  <c r="L63" i="2"/>
  <c r="K63" i="2"/>
  <c r="M62" i="2"/>
  <c r="L64" i="2"/>
  <c r="K64" i="2"/>
  <c r="M63" i="2"/>
  <c r="L65" i="2"/>
  <c r="K65" i="2"/>
  <c r="M64" i="2"/>
  <c r="L66" i="2"/>
  <c r="K66" i="2"/>
  <c r="M65" i="2"/>
  <c r="M66" i="2"/>
  <c r="O60" i="2"/>
  <c r="P63" i="2"/>
  <c r="M59" i="2"/>
  <c r="P60" i="2"/>
  <c r="O65" i="2"/>
  <c r="N65" i="2" s="1"/>
  <c r="L15" i="4"/>
  <c r="K15" i="4"/>
  <c r="M13" i="4"/>
  <c r="O14" i="4"/>
  <c r="P13" i="4"/>
  <c r="L14" i="4"/>
  <c r="P14" i="4"/>
  <c r="K16" i="4"/>
  <c r="M14" i="4"/>
  <c r="L16" i="4"/>
  <c r="O15" i="4"/>
  <c r="N15" i="4" s="1"/>
  <c r="O16" i="4"/>
  <c r="N16" i="4" s="1"/>
  <c r="P15" i="4"/>
  <c r="L17" i="4"/>
  <c r="K17" i="4"/>
  <c r="M15" i="4"/>
  <c r="P17" i="4"/>
  <c r="N17" i="4" s="1"/>
  <c r="L19" i="4"/>
  <c r="K19" i="4"/>
  <c r="M17" i="4"/>
  <c r="O18" i="4"/>
  <c r="P19" i="4"/>
  <c r="L21" i="4"/>
  <c r="K21" i="4"/>
  <c r="M19" i="4"/>
  <c r="O20" i="4"/>
  <c r="L24" i="4"/>
  <c r="P22" i="4"/>
  <c r="K24" i="4"/>
  <c r="M22" i="4"/>
  <c r="O24" i="4"/>
  <c r="N24" i="4" s="1"/>
  <c r="O23" i="4"/>
  <c r="N23" i="4" s="1"/>
  <c r="O26" i="4"/>
  <c r="K26" i="4"/>
  <c r="L26" i="4"/>
  <c r="M24" i="4"/>
  <c r="P24" i="4"/>
  <c r="L23" i="4"/>
  <c r="K23" i="4"/>
  <c r="O22" i="4"/>
  <c r="M21" i="4"/>
  <c r="P21" i="4"/>
  <c r="L18" i="4"/>
  <c r="K18" i="4"/>
  <c r="M16" i="4"/>
  <c r="P16" i="4"/>
  <c r="K20" i="4"/>
  <c r="M18" i="4"/>
  <c r="O19" i="4"/>
  <c r="N19" i="4" s="1"/>
  <c r="P18" i="4"/>
  <c r="L20" i="4"/>
  <c r="K22" i="4"/>
  <c r="L22" i="4"/>
  <c r="P20" i="4"/>
  <c r="M20" i="4"/>
  <c r="O21" i="4"/>
  <c r="K14" i="4"/>
  <c r="O13" i="4"/>
  <c r="N13" i="4" s="1"/>
  <c r="R22" i="4"/>
  <c r="A1" i="4"/>
  <c r="P28" i="4"/>
  <c r="O30" i="4"/>
  <c r="N30" i="4" s="1"/>
  <c r="M28" i="4"/>
  <c r="L30" i="4"/>
  <c r="K30" i="4"/>
  <c r="L28" i="4"/>
  <c r="O43" i="4"/>
  <c r="N43" i="4" s="1"/>
  <c r="L43" i="4"/>
  <c r="K43" i="4"/>
  <c r="P41" i="4"/>
  <c r="L38" i="4"/>
  <c r="A2" i="4"/>
  <c r="P25" i="4"/>
  <c r="O27" i="4"/>
  <c r="N27" i="4" s="1"/>
  <c r="M25" i="4"/>
  <c r="K27" i="4"/>
  <c r="K34" i="4"/>
  <c r="M34" i="4"/>
  <c r="O36" i="4"/>
  <c r="L36" i="4"/>
  <c r="K36" i="4"/>
  <c r="P34" i="4"/>
  <c r="L27" i="4"/>
  <c r="P30" i="4"/>
  <c r="O32" i="4"/>
  <c r="M30" i="4"/>
  <c r="L32" i="4"/>
  <c r="K32" i="4"/>
  <c r="M23" i="4"/>
  <c r="O40" i="4"/>
  <c r="N40" i="4" s="1"/>
  <c r="L40" i="4"/>
  <c r="K40" i="4"/>
  <c r="P38" i="4"/>
  <c r="M38" i="4"/>
  <c r="P27" i="4"/>
  <c r="O29" i="4"/>
  <c r="M27" i="4"/>
  <c r="L29" i="4"/>
  <c r="K29" i="4"/>
  <c r="K33" i="4"/>
  <c r="P31" i="4"/>
  <c r="M31" i="4"/>
  <c r="O33" i="4"/>
  <c r="L25" i="4"/>
  <c r="L33" i="4"/>
  <c r="M35" i="4"/>
  <c r="P35" i="4"/>
  <c r="O37" i="4"/>
  <c r="N37" i="4" s="1"/>
  <c r="L37" i="4"/>
  <c r="K37" i="4"/>
  <c r="L41" i="4"/>
  <c r="K41" i="4"/>
  <c r="P39" i="4"/>
  <c r="M39" i="4"/>
  <c r="M33" i="4"/>
  <c r="P36" i="4"/>
  <c r="K42" i="4"/>
  <c r="P29" i="4"/>
  <c r="O31" i="4"/>
  <c r="N31" i="4" s="1"/>
  <c r="M29" i="4"/>
  <c r="L31" i="4"/>
  <c r="K31" i="4"/>
  <c r="O35" i="4"/>
  <c r="N35" i="4" s="1"/>
  <c r="N44" i="4"/>
  <c r="M41" i="4"/>
  <c r="L42" i="4"/>
  <c r="P26" i="4"/>
  <c r="O28" i="4"/>
  <c r="N28" i="4" s="1"/>
  <c r="M26" i="4"/>
  <c r="K28" i="4"/>
  <c r="P37" i="4"/>
  <c r="O39" i="4"/>
  <c r="N39" i="4" s="1"/>
  <c r="M37" i="4"/>
  <c r="L39" i="4"/>
  <c r="K39" i="4"/>
  <c r="M40" i="4"/>
  <c r="O42" i="4"/>
  <c r="N42" i="4" s="1"/>
  <c r="L34" i="4"/>
  <c r="P40" i="4"/>
  <c r="O41" i="4"/>
  <c r="N41" i="4" s="1"/>
  <c r="L57" i="4"/>
  <c r="K57" i="4"/>
  <c r="P55" i="4"/>
  <c r="M55" i="4"/>
  <c r="O49" i="4"/>
  <c r="N49" i="4" s="1"/>
  <c r="M50" i="4"/>
  <c r="O25" i="4"/>
  <c r="K25" i="4"/>
  <c r="M36" i="4"/>
  <c r="O38" i="4"/>
  <c r="N38" i="4" s="1"/>
  <c r="O34" i="4"/>
  <c r="K38" i="4"/>
  <c r="K46" i="4"/>
  <c r="P49" i="4"/>
  <c r="M42" i="4"/>
  <c r="L46" i="4"/>
  <c r="L47" i="4"/>
  <c r="O48" i="4"/>
  <c r="O50" i="4"/>
  <c r="L51" i="4"/>
  <c r="O54" i="4"/>
  <c r="N54" i="4" s="1"/>
  <c r="L55" i="4"/>
  <c r="O56" i="4"/>
  <c r="N56" i="4" s="1"/>
  <c r="N60" i="4"/>
  <c r="P33" i="4"/>
  <c r="O46" i="4"/>
  <c r="M47" i="4"/>
  <c r="P48" i="4"/>
  <c r="P50" i="4"/>
  <c r="M51" i="4"/>
  <c r="K52" i="4"/>
  <c r="P54" i="4"/>
  <c r="M32" i="4"/>
  <c r="K35" i="4"/>
  <c r="P42" i="4"/>
  <c r="M43" i="4"/>
  <c r="K44" i="4"/>
  <c r="K45" i="4"/>
  <c r="P46" i="4"/>
  <c r="O47" i="4"/>
  <c r="N47" i="4" s="1"/>
  <c r="O51" i="4"/>
  <c r="L52" i="4"/>
  <c r="O55" i="4"/>
  <c r="N55" i="4" s="1"/>
  <c r="N59" i="4"/>
  <c r="N63" i="4"/>
  <c r="L35" i="4"/>
  <c r="L44" i="4"/>
  <c r="L45" i="4"/>
  <c r="P47" i="4"/>
  <c r="K49" i="4"/>
  <c r="P51" i="4"/>
  <c r="M52" i="4"/>
  <c r="K53" i="4"/>
  <c r="P43" i="4"/>
  <c r="O45" i="4"/>
  <c r="L49" i="4"/>
  <c r="O52" i="4"/>
  <c r="L53" i="4"/>
  <c r="N58" i="4"/>
  <c r="P32" i="4"/>
  <c r="P45" i="4"/>
  <c r="K48" i="4"/>
  <c r="M49" i="4"/>
  <c r="K50" i="4"/>
  <c r="P52" i="4"/>
  <c r="M53" i="4"/>
  <c r="K54" i="4"/>
  <c r="N56" i="2" l="1"/>
  <c r="N49" i="2"/>
  <c r="N46" i="2"/>
  <c r="N40" i="2"/>
  <c r="N41" i="2"/>
  <c r="N32" i="2"/>
  <c r="N39" i="2"/>
  <c r="N33" i="2"/>
  <c r="N28" i="2"/>
  <c r="N26" i="2"/>
  <c r="N30" i="2"/>
  <c r="N34" i="2"/>
  <c r="N31" i="2"/>
  <c r="N27" i="2"/>
  <c r="R33" i="4"/>
  <c r="R24" i="4"/>
  <c r="Z22" i="4"/>
  <c r="N34" i="4"/>
  <c r="N20" i="4"/>
  <c r="N16" i="2"/>
  <c r="N46" i="4"/>
  <c r="N48" i="4"/>
  <c r="N29" i="4"/>
  <c r="L13" i="4"/>
  <c r="K13" i="4"/>
  <c r="N21" i="4"/>
  <c r="N26" i="4"/>
  <c r="N61" i="2"/>
  <c r="N43" i="2"/>
  <c r="N19" i="2"/>
  <c r="N55" i="2"/>
  <c r="N50" i="4"/>
  <c r="N52" i="4"/>
  <c r="N51" i="4"/>
  <c r="N33" i="4"/>
  <c r="N36" i="4"/>
  <c r="N60" i="2"/>
  <c r="N15" i="2"/>
  <c r="N51" i="2"/>
  <c r="AP50" i="2"/>
  <c r="AH50" i="2"/>
  <c r="Z50" i="2"/>
  <c r="R50" i="2"/>
  <c r="AP39" i="2"/>
  <c r="AH39" i="2"/>
  <c r="Z39" i="2"/>
  <c r="R39" i="2"/>
  <c r="AP28" i="2"/>
  <c r="AH28" i="2"/>
  <c r="Z28" i="2"/>
  <c r="R28" i="2"/>
  <c r="C14" i="2"/>
  <c r="AO50" i="2"/>
  <c r="AG50" i="2"/>
  <c r="Y50" i="2"/>
  <c r="Q50" i="2"/>
  <c r="AO39" i="2"/>
  <c r="AG39" i="2"/>
  <c r="Y39" i="2"/>
  <c r="Q39" i="2"/>
  <c r="AO28" i="2"/>
  <c r="AG28" i="2"/>
  <c r="Y28" i="2"/>
  <c r="Q28" i="2"/>
  <c r="N45" i="4"/>
  <c r="N25" i="4"/>
  <c r="N32" i="4"/>
  <c r="N22" i="4"/>
  <c r="N14" i="4"/>
  <c r="N37" i="2"/>
  <c r="N50" i="2"/>
  <c r="N24" i="2"/>
  <c r="AP50" i="4"/>
  <c r="AH50" i="4"/>
  <c r="Z50" i="4"/>
  <c r="R50" i="4"/>
  <c r="AP39" i="4"/>
  <c r="AH39" i="4"/>
  <c r="Z39" i="4"/>
  <c r="R39" i="4"/>
  <c r="AO50" i="4"/>
  <c r="AG50" i="4"/>
  <c r="Y50" i="4"/>
  <c r="Q50" i="4"/>
  <c r="AO39" i="4"/>
  <c r="AG39" i="4"/>
  <c r="Y39" i="4"/>
  <c r="Q39" i="4"/>
  <c r="AH28" i="4"/>
  <c r="AG28" i="4"/>
  <c r="Z28" i="4"/>
  <c r="Y28" i="4"/>
  <c r="R28" i="4"/>
  <c r="AP28" i="4"/>
  <c r="Q28" i="4"/>
  <c r="AO28" i="4"/>
  <c r="C14" i="4"/>
  <c r="N18" i="4"/>
  <c r="Z22" i="2"/>
  <c r="R33" i="2"/>
  <c r="R24" i="2"/>
  <c r="Y51" i="2" l="1"/>
  <c r="Y52" i="2" s="1"/>
  <c r="Y53" i="2" s="1"/>
  <c r="Y54" i="2" s="1"/>
  <c r="Y49" i="2"/>
  <c r="Z40" i="2"/>
  <c r="Z41" i="2" s="1"/>
  <c r="Z42" i="2" s="1"/>
  <c r="Z43" i="2" s="1"/>
  <c r="Z38" i="2"/>
  <c r="AA38" i="2" s="1"/>
  <c r="AO51" i="4"/>
  <c r="AO52" i="4" s="1"/>
  <c r="AO53" i="4" s="1"/>
  <c r="AO54" i="4" s="1"/>
  <c r="AO49" i="4"/>
  <c r="AH40" i="2"/>
  <c r="AH41" i="2" s="1"/>
  <c r="AH42" i="2" s="1"/>
  <c r="AH43" i="2" s="1"/>
  <c r="AH38" i="2"/>
  <c r="AI38" i="2" s="1"/>
  <c r="AO27" i="4"/>
  <c r="AO29" i="4"/>
  <c r="AO30" i="4" s="1"/>
  <c r="AO31" i="4" s="1"/>
  <c r="AO32" i="4" s="1"/>
  <c r="Q40" i="4"/>
  <c r="Q41" i="4" s="1"/>
  <c r="Q42" i="4" s="1"/>
  <c r="Q43" i="4" s="1"/>
  <c r="Q38" i="4"/>
  <c r="R40" i="4"/>
  <c r="R41" i="4" s="1"/>
  <c r="R42" i="4" s="1"/>
  <c r="R43" i="4" s="1"/>
  <c r="R38" i="4"/>
  <c r="S38" i="4" s="1"/>
  <c r="Q40" i="2"/>
  <c r="Q41" i="2" s="1"/>
  <c r="Q42" i="2" s="1"/>
  <c r="Q43" i="2" s="1"/>
  <c r="Q38" i="2"/>
  <c r="C15" i="2"/>
  <c r="C16" i="2" s="1"/>
  <c r="C17" i="2" s="1"/>
  <c r="C18" i="2" s="1"/>
  <c r="C13" i="2"/>
  <c r="AP40" i="2"/>
  <c r="AP41" i="2" s="1"/>
  <c r="AP42" i="2" s="1"/>
  <c r="AP43" i="2" s="1"/>
  <c r="AP38" i="2"/>
  <c r="AQ38" i="2" s="1"/>
  <c r="AG29" i="4"/>
  <c r="AG30" i="4" s="1"/>
  <c r="AG31" i="4" s="1"/>
  <c r="AG32" i="4" s="1"/>
  <c r="AG27" i="4"/>
  <c r="AG51" i="2"/>
  <c r="AG52" i="2" s="1"/>
  <c r="AG53" i="2" s="1"/>
  <c r="AG54" i="2" s="1"/>
  <c r="AG49" i="2"/>
  <c r="AH29" i="4"/>
  <c r="AH30" i="4" s="1"/>
  <c r="AH31" i="4" s="1"/>
  <c r="AH32" i="4" s="1"/>
  <c r="AH27" i="4"/>
  <c r="AI27" i="4" s="1"/>
  <c r="AO51" i="2"/>
  <c r="AO52" i="2" s="1"/>
  <c r="AO53" i="2" s="1"/>
  <c r="AO54" i="2" s="1"/>
  <c r="AO49" i="2"/>
  <c r="Y40" i="4"/>
  <c r="Y41" i="4" s="1"/>
  <c r="Y42" i="4" s="1"/>
  <c r="Y43" i="4" s="1"/>
  <c r="Y38" i="4"/>
  <c r="AG40" i="2"/>
  <c r="AG41" i="2" s="1"/>
  <c r="AG42" i="2" s="1"/>
  <c r="AG43" i="2" s="1"/>
  <c r="AG38" i="2"/>
  <c r="Z29" i="2"/>
  <c r="Z30" i="2" s="1"/>
  <c r="Z31" i="2" s="1"/>
  <c r="Z32" i="2" s="1"/>
  <c r="Z27" i="2"/>
  <c r="AA27" i="2" s="1"/>
  <c r="Z51" i="2"/>
  <c r="Z52" i="2" s="1"/>
  <c r="Z53" i="2" s="1"/>
  <c r="Z54" i="2" s="1"/>
  <c r="Z49" i="2"/>
  <c r="AA49" i="2" s="1"/>
  <c r="Z33" i="4"/>
  <c r="Z24" i="4"/>
  <c r="AH22" i="4"/>
  <c r="Y51" i="4"/>
  <c r="Y52" i="4" s="1"/>
  <c r="Y53" i="4" s="1"/>
  <c r="Y54" i="4" s="1"/>
  <c r="Y49" i="4"/>
  <c r="Y29" i="2"/>
  <c r="Y30" i="2" s="1"/>
  <c r="Y31" i="2" s="1"/>
  <c r="Y32" i="2" s="1"/>
  <c r="Y27" i="2"/>
  <c r="AG51" i="4"/>
  <c r="AG52" i="4" s="1"/>
  <c r="AG53" i="4" s="1"/>
  <c r="AG54" i="4" s="1"/>
  <c r="AG49" i="4"/>
  <c r="AG29" i="2"/>
  <c r="AG30" i="2" s="1"/>
  <c r="AG31" i="2" s="1"/>
  <c r="AG32" i="2" s="1"/>
  <c r="AG27" i="2"/>
  <c r="Z33" i="2"/>
  <c r="Z24" i="2"/>
  <c r="AH22" i="2"/>
  <c r="AP51" i="4"/>
  <c r="AP52" i="4" s="1"/>
  <c r="AP53" i="4" s="1"/>
  <c r="AP54" i="4" s="1"/>
  <c r="AP49" i="4"/>
  <c r="AQ49" i="4" s="1"/>
  <c r="R29" i="2"/>
  <c r="R30" i="2" s="1"/>
  <c r="R31" i="2" s="1"/>
  <c r="R32" i="2" s="1"/>
  <c r="R27" i="2"/>
  <c r="AG40" i="4"/>
  <c r="AG41" i="4" s="1"/>
  <c r="AG42" i="4" s="1"/>
  <c r="AG43" i="4" s="1"/>
  <c r="AG38" i="4"/>
  <c r="R29" i="4"/>
  <c r="R30" i="4" s="1"/>
  <c r="R31" i="4" s="1"/>
  <c r="R32" i="4" s="1"/>
  <c r="R27" i="4"/>
  <c r="AO40" i="4"/>
  <c r="AO41" i="4" s="1"/>
  <c r="AO42" i="4" s="1"/>
  <c r="AO43" i="4" s="1"/>
  <c r="AO38" i="4"/>
  <c r="AP40" i="4"/>
  <c r="AP41" i="4" s="1"/>
  <c r="AP42" i="4" s="1"/>
  <c r="AP43" i="4" s="1"/>
  <c r="AP38" i="4"/>
  <c r="AQ38" i="4" s="1"/>
  <c r="AO40" i="2"/>
  <c r="AO41" i="2" s="1"/>
  <c r="AO42" i="2" s="1"/>
  <c r="AO43" i="2" s="1"/>
  <c r="AO38" i="2"/>
  <c r="AH29" i="2"/>
  <c r="AH30" i="2" s="1"/>
  <c r="AH31" i="2" s="1"/>
  <c r="AH32" i="2" s="1"/>
  <c r="AH27" i="2"/>
  <c r="AI27" i="2" s="1"/>
  <c r="AH51" i="2"/>
  <c r="AH52" i="2" s="1"/>
  <c r="AH53" i="2" s="1"/>
  <c r="AH54" i="2" s="1"/>
  <c r="AH49" i="2"/>
  <c r="AI49" i="2" s="1"/>
  <c r="Z29" i="4"/>
  <c r="Z30" i="4" s="1"/>
  <c r="Z31" i="4" s="1"/>
  <c r="Z32" i="4" s="1"/>
  <c r="Z27" i="4"/>
  <c r="AA27" i="4" s="1"/>
  <c r="Z51" i="4"/>
  <c r="Z52" i="4" s="1"/>
  <c r="Z53" i="4" s="1"/>
  <c r="Z54" i="4" s="1"/>
  <c r="Z49" i="4"/>
  <c r="AA49" i="4" s="1"/>
  <c r="R40" i="2"/>
  <c r="R41" i="2" s="1"/>
  <c r="R42" i="2" s="1"/>
  <c r="R43" i="2" s="1"/>
  <c r="R38" i="2"/>
  <c r="S38" i="2" s="1"/>
  <c r="R44" i="2"/>
  <c r="R46" i="2" s="1"/>
  <c r="R35" i="2"/>
  <c r="AH51" i="4"/>
  <c r="AH52" i="4" s="1"/>
  <c r="AH53" i="4" s="1"/>
  <c r="AH54" i="4" s="1"/>
  <c r="AH49" i="4"/>
  <c r="AI49" i="4" s="1"/>
  <c r="C15" i="4"/>
  <c r="C16" i="4" s="1"/>
  <c r="C17" i="4" s="1"/>
  <c r="C18" i="4" s="1"/>
  <c r="C13" i="4"/>
  <c r="AO29" i="2"/>
  <c r="AO30" i="2" s="1"/>
  <c r="AO31" i="2" s="1"/>
  <c r="AO32" i="2" s="1"/>
  <c r="AO27" i="2"/>
  <c r="Q29" i="4"/>
  <c r="Q30" i="4" s="1"/>
  <c r="Q31" i="4" s="1"/>
  <c r="Q32" i="4" s="1"/>
  <c r="Q27" i="4"/>
  <c r="Z40" i="4"/>
  <c r="Z41" i="4" s="1"/>
  <c r="Z42" i="4" s="1"/>
  <c r="Z43" i="4" s="1"/>
  <c r="Z38" i="4"/>
  <c r="AA38" i="4" s="1"/>
  <c r="Y40" i="2"/>
  <c r="Y41" i="2" s="1"/>
  <c r="Y42" i="2" s="1"/>
  <c r="Y43" i="2" s="1"/>
  <c r="Y38" i="2"/>
  <c r="R51" i="2"/>
  <c r="R52" i="2" s="1"/>
  <c r="R53" i="2" s="1"/>
  <c r="R54" i="2" s="1"/>
  <c r="R49" i="2"/>
  <c r="S49" i="2" s="1"/>
  <c r="AP27" i="4"/>
  <c r="AQ27" i="4" s="1"/>
  <c r="AP29" i="4"/>
  <c r="AP30" i="4" s="1"/>
  <c r="AP31" i="4" s="1"/>
  <c r="AP32" i="4" s="1"/>
  <c r="AH40" i="4"/>
  <c r="AH41" i="4" s="1"/>
  <c r="AH42" i="4" s="1"/>
  <c r="AH43" i="4" s="1"/>
  <c r="AH38" i="4"/>
  <c r="AI38" i="4" s="1"/>
  <c r="Y29" i="4"/>
  <c r="Y30" i="4" s="1"/>
  <c r="Y31" i="4" s="1"/>
  <c r="Y32" i="4" s="1"/>
  <c r="Y27" i="4"/>
  <c r="Q51" i="4"/>
  <c r="Q52" i="4" s="1"/>
  <c r="Q53" i="4" s="1"/>
  <c r="Q54" i="4" s="1"/>
  <c r="Q49" i="4"/>
  <c r="R51" i="4"/>
  <c r="R52" i="4" s="1"/>
  <c r="R53" i="4" s="1"/>
  <c r="R54" i="4" s="1"/>
  <c r="R49" i="4"/>
  <c r="S49" i="4" s="1"/>
  <c r="Q29" i="2"/>
  <c r="Q30" i="2" s="1"/>
  <c r="Q31" i="2" s="1"/>
  <c r="Q32" i="2" s="1"/>
  <c r="Q27" i="2"/>
  <c r="Q51" i="2"/>
  <c r="Q52" i="2" s="1"/>
  <c r="Q53" i="2" s="1"/>
  <c r="Q54" i="2" s="1"/>
  <c r="Q49" i="2"/>
  <c r="AP29" i="2"/>
  <c r="AP30" i="2" s="1"/>
  <c r="AP31" i="2" s="1"/>
  <c r="AP32" i="2" s="1"/>
  <c r="AP27" i="2"/>
  <c r="AQ27" i="2" s="1"/>
  <c r="AP51" i="2"/>
  <c r="AP52" i="2" s="1"/>
  <c r="AP53" i="2" s="1"/>
  <c r="AP54" i="2" s="1"/>
  <c r="AP49" i="2"/>
  <c r="AQ49" i="2" s="1"/>
  <c r="R44" i="4"/>
  <c r="R46" i="4" s="1"/>
  <c r="R35" i="4"/>
  <c r="AJ49" i="2" l="1"/>
  <c r="AI50" i="2"/>
  <c r="AI51" i="2" s="1"/>
  <c r="AI52" i="2" s="1"/>
  <c r="AI53" i="2" s="1"/>
  <c r="AI54" i="2" s="1"/>
  <c r="AQ39" i="4"/>
  <c r="AQ40" i="4" s="1"/>
  <c r="AQ41" i="4" s="1"/>
  <c r="AQ42" i="4" s="1"/>
  <c r="AQ43" i="4" s="1"/>
  <c r="AR38" i="4"/>
  <c r="AQ39" i="2"/>
  <c r="AQ40" i="2" s="1"/>
  <c r="AQ41" i="2" s="1"/>
  <c r="AQ42" i="2" s="1"/>
  <c r="AQ43" i="2" s="1"/>
  <c r="AR38" i="2"/>
  <c r="AI50" i="4"/>
  <c r="AI51" i="4" s="1"/>
  <c r="AI52" i="4" s="1"/>
  <c r="AI53" i="4" s="1"/>
  <c r="AI54" i="4" s="1"/>
  <c r="AJ49" i="4"/>
  <c r="Z35" i="4"/>
  <c r="Z44" i="4"/>
  <c r="Z46" i="4" s="1"/>
  <c r="S39" i="4"/>
  <c r="S40" i="4" s="1"/>
  <c r="S41" i="4" s="1"/>
  <c r="S42" i="4" s="1"/>
  <c r="S43" i="4" s="1"/>
  <c r="T38" i="4"/>
  <c r="Z44" i="2"/>
  <c r="Z46" i="2" s="1"/>
  <c r="Z35" i="2"/>
  <c r="AB27" i="2"/>
  <c r="AA28" i="2"/>
  <c r="AA29" i="2" s="1"/>
  <c r="AA30" i="2" s="1"/>
  <c r="AA31" i="2" s="1"/>
  <c r="AA32" i="2" s="1"/>
  <c r="AI39" i="2"/>
  <c r="AI40" i="2" s="1"/>
  <c r="AI41" i="2" s="1"/>
  <c r="AI42" i="2" s="1"/>
  <c r="AI43" i="2" s="1"/>
  <c r="AJ38" i="2"/>
  <c r="AQ50" i="4"/>
  <c r="AQ51" i="4" s="1"/>
  <c r="AQ52" i="4" s="1"/>
  <c r="AQ53" i="4" s="1"/>
  <c r="AQ54" i="4" s="1"/>
  <c r="AR49" i="4"/>
  <c r="AQ28" i="2"/>
  <c r="AQ29" i="2" s="1"/>
  <c r="AQ30" i="2" s="1"/>
  <c r="AQ31" i="2" s="1"/>
  <c r="AQ32" i="2" s="1"/>
  <c r="AR27" i="2"/>
  <c r="T49" i="2"/>
  <c r="S50" i="2"/>
  <c r="S51" i="2" s="1"/>
  <c r="S52" i="2" s="1"/>
  <c r="S53" i="2" s="1"/>
  <c r="S54" i="2" s="1"/>
  <c r="AA28" i="4"/>
  <c r="AA29" i="4" s="1"/>
  <c r="AA30" i="4" s="1"/>
  <c r="AA31" i="4" s="1"/>
  <c r="AA32" i="4" s="1"/>
  <c r="AB27" i="4"/>
  <c r="AB38" i="2"/>
  <c r="AA39" i="2"/>
  <c r="AA40" i="2" s="1"/>
  <c r="AA41" i="2" s="1"/>
  <c r="AA42" i="2" s="1"/>
  <c r="AA43" i="2" s="1"/>
  <c r="T38" i="2"/>
  <c r="S39" i="2"/>
  <c r="S40" i="2" s="1"/>
  <c r="S41" i="2" s="1"/>
  <c r="S42" i="2" s="1"/>
  <c r="S43" i="2" s="1"/>
  <c r="S27" i="2"/>
  <c r="C19" i="2"/>
  <c r="C20" i="2" s="1"/>
  <c r="C21" i="2" s="1"/>
  <c r="C22" i="2" s="1"/>
  <c r="AA10" i="2"/>
  <c r="AE10" i="2"/>
  <c r="W10" i="2"/>
  <c r="AC10" i="2"/>
  <c r="AQ50" i="2"/>
  <c r="AQ51" i="2" s="1"/>
  <c r="AQ52" i="2" s="1"/>
  <c r="AQ53" i="2" s="1"/>
  <c r="AQ54" i="2" s="1"/>
  <c r="AR49" i="2"/>
  <c r="S50" i="4"/>
  <c r="S51" i="4" s="1"/>
  <c r="S52" i="4" s="1"/>
  <c r="S53" i="4" s="1"/>
  <c r="S54" i="4" s="1"/>
  <c r="T49" i="4"/>
  <c r="AA50" i="4"/>
  <c r="AA51" i="4" s="1"/>
  <c r="AA52" i="4" s="1"/>
  <c r="AA53" i="4" s="1"/>
  <c r="AA54" i="4" s="1"/>
  <c r="AB49" i="4"/>
  <c r="S27" i="4"/>
  <c r="AH24" i="4"/>
  <c r="AH33" i="4"/>
  <c r="AP22" i="4"/>
  <c r="AJ38" i="4"/>
  <c r="AI39" i="4"/>
  <c r="AI40" i="4" s="1"/>
  <c r="AI41" i="4" s="1"/>
  <c r="AI42" i="4" s="1"/>
  <c r="AI43" i="4" s="1"/>
  <c r="AA39" i="4"/>
  <c r="AA40" i="4" s="1"/>
  <c r="AA41" i="4" s="1"/>
  <c r="AA42" i="4" s="1"/>
  <c r="AA43" i="4" s="1"/>
  <c r="AB38" i="4"/>
  <c r="AI28" i="2"/>
  <c r="AI29" i="2" s="1"/>
  <c r="AI30" i="2" s="1"/>
  <c r="AI31" i="2" s="1"/>
  <c r="AI32" i="2" s="1"/>
  <c r="AJ27" i="2"/>
  <c r="AQ28" i="4"/>
  <c r="AQ29" i="4" s="1"/>
  <c r="AQ30" i="4" s="1"/>
  <c r="AQ31" i="4" s="1"/>
  <c r="AQ32" i="4" s="1"/>
  <c r="AR27" i="4"/>
  <c r="AE10" i="4"/>
  <c r="AC10" i="4"/>
  <c r="C19" i="4"/>
  <c r="C20" i="4" s="1"/>
  <c r="C21" i="4" s="1"/>
  <c r="C22" i="4" s="1"/>
  <c r="AA10" i="4"/>
  <c r="W10" i="4"/>
  <c r="AH33" i="2"/>
  <c r="AH24" i="2"/>
  <c r="AP22" i="2"/>
  <c r="AA50" i="2"/>
  <c r="AA51" i="2" s="1"/>
  <c r="AA52" i="2" s="1"/>
  <c r="AA53" i="2" s="1"/>
  <c r="AA54" i="2" s="1"/>
  <c r="AB49" i="2"/>
  <c r="AI28" i="4"/>
  <c r="AI29" i="4" s="1"/>
  <c r="AI30" i="4" s="1"/>
  <c r="AI31" i="4" s="1"/>
  <c r="AI32" i="4" s="1"/>
  <c r="AJ27" i="4"/>
  <c r="U10" i="2" l="1"/>
  <c r="AG10" i="2" s="1"/>
  <c r="U10" i="4"/>
  <c r="AG10" i="4" s="1"/>
  <c r="C23" i="4"/>
  <c r="C24" i="4" s="1"/>
  <c r="C25" i="4" s="1"/>
  <c r="C26" i="4" s="1"/>
  <c r="AE11" i="4"/>
  <c r="W11" i="4"/>
  <c r="AC11" i="4"/>
  <c r="AA11" i="4"/>
  <c r="S28" i="4"/>
  <c r="S29" i="4" s="1"/>
  <c r="S30" i="4" s="1"/>
  <c r="S31" i="4" s="1"/>
  <c r="S32" i="4" s="1"/>
  <c r="T27" i="4"/>
  <c r="AR50" i="2"/>
  <c r="AR51" i="2" s="1"/>
  <c r="AR52" i="2" s="1"/>
  <c r="AR53" i="2" s="1"/>
  <c r="AR54" i="2" s="1"/>
  <c r="AS49" i="2"/>
  <c r="AB39" i="2"/>
  <c r="AB40" i="2" s="1"/>
  <c r="AB41" i="2" s="1"/>
  <c r="AB42" i="2" s="1"/>
  <c r="AB43" i="2" s="1"/>
  <c r="AC38" i="2"/>
  <c r="AJ50" i="4"/>
  <c r="AJ51" i="4" s="1"/>
  <c r="AJ52" i="4" s="1"/>
  <c r="AJ53" i="4" s="1"/>
  <c r="AJ54" i="4" s="1"/>
  <c r="AK49" i="4"/>
  <c r="AR39" i="4"/>
  <c r="AR40" i="4" s="1"/>
  <c r="AR41" i="4" s="1"/>
  <c r="AR42" i="4" s="1"/>
  <c r="AR43" i="4" s="1"/>
  <c r="AS38" i="4"/>
  <c r="AC27" i="4"/>
  <c r="AB28" i="4"/>
  <c r="AB29" i="4" s="1"/>
  <c r="AB30" i="4" s="1"/>
  <c r="AB31" i="4" s="1"/>
  <c r="AB32" i="4" s="1"/>
  <c r="AR50" i="4"/>
  <c r="AR51" i="4" s="1"/>
  <c r="AR52" i="4" s="1"/>
  <c r="AR53" i="4" s="1"/>
  <c r="AR54" i="4" s="1"/>
  <c r="AS49" i="4"/>
  <c r="AP33" i="2"/>
  <c r="AP24" i="2"/>
  <c r="AH44" i="2"/>
  <c r="AH46" i="2" s="1"/>
  <c r="AH35" i="2"/>
  <c r="AB39" i="4"/>
  <c r="AB40" i="4" s="1"/>
  <c r="AB41" i="4" s="1"/>
  <c r="AB42" i="4" s="1"/>
  <c r="AB43" i="4" s="1"/>
  <c r="AC38" i="4"/>
  <c r="AB50" i="4"/>
  <c r="AB51" i="4" s="1"/>
  <c r="AB52" i="4" s="1"/>
  <c r="AB53" i="4" s="1"/>
  <c r="AB54" i="4" s="1"/>
  <c r="AC49" i="4"/>
  <c r="AJ50" i="2"/>
  <c r="AJ51" i="2" s="1"/>
  <c r="AJ52" i="2" s="1"/>
  <c r="AJ53" i="2" s="1"/>
  <c r="AJ54" i="2" s="1"/>
  <c r="AK49" i="2"/>
  <c r="U38" i="4"/>
  <c r="T39" i="4"/>
  <c r="T40" i="4" s="1"/>
  <c r="T41" i="4" s="1"/>
  <c r="T42" i="4" s="1"/>
  <c r="T43" i="4" s="1"/>
  <c r="AS38" i="2"/>
  <c r="AR39" i="2"/>
  <c r="AR40" i="2" s="1"/>
  <c r="AR41" i="2" s="1"/>
  <c r="AR42" i="2" s="1"/>
  <c r="AR43" i="2" s="1"/>
  <c r="AK27" i="4"/>
  <c r="AJ28" i="4"/>
  <c r="AJ29" i="4" s="1"/>
  <c r="AJ30" i="4" s="1"/>
  <c r="AJ31" i="4" s="1"/>
  <c r="AJ32" i="4" s="1"/>
  <c r="T39" i="2"/>
  <c r="T40" i="2" s="1"/>
  <c r="T41" i="2" s="1"/>
  <c r="T42" i="2" s="1"/>
  <c r="T43" i="2" s="1"/>
  <c r="U38" i="2"/>
  <c r="AC49" i="2"/>
  <c r="AB50" i="2"/>
  <c r="AB51" i="2" s="1"/>
  <c r="AB52" i="2" s="1"/>
  <c r="AB53" i="2" s="1"/>
  <c r="AB54" i="2" s="1"/>
  <c r="AR28" i="2"/>
  <c r="AR29" i="2" s="1"/>
  <c r="AR30" i="2" s="1"/>
  <c r="AR31" i="2" s="1"/>
  <c r="AR32" i="2" s="1"/>
  <c r="AS27" i="2"/>
  <c r="AS27" i="4"/>
  <c r="AR28" i="4"/>
  <c r="AR29" i="4" s="1"/>
  <c r="AR30" i="4" s="1"/>
  <c r="AR31" i="4" s="1"/>
  <c r="AR32" i="4" s="1"/>
  <c r="T50" i="2"/>
  <c r="T51" i="2" s="1"/>
  <c r="T52" i="2" s="1"/>
  <c r="T53" i="2" s="1"/>
  <c r="T54" i="2" s="1"/>
  <c r="U49" i="2"/>
  <c r="AI10" i="4"/>
  <c r="AJ39" i="4"/>
  <c r="AJ40" i="4" s="1"/>
  <c r="AJ41" i="4" s="1"/>
  <c r="AJ42" i="4" s="1"/>
  <c r="AJ43" i="4" s="1"/>
  <c r="AK38" i="4"/>
  <c r="AP24" i="4"/>
  <c r="AP33" i="4"/>
  <c r="T50" i="4"/>
  <c r="T51" i="4" s="1"/>
  <c r="T52" i="4" s="1"/>
  <c r="T53" i="4" s="1"/>
  <c r="T54" i="4" s="1"/>
  <c r="U49" i="4"/>
  <c r="C23" i="2"/>
  <c r="C24" i="2" s="1"/>
  <c r="C25" i="2" s="1"/>
  <c r="C26" i="2" s="1"/>
  <c r="AC11" i="2"/>
  <c r="AA11" i="2"/>
  <c r="AE11" i="2"/>
  <c r="W11" i="2"/>
  <c r="S28" i="2"/>
  <c r="S29" i="2" s="1"/>
  <c r="S30" i="2" s="1"/>
  <c r="S31" i="2" s="1"/>
  <c r="S32" i="2" s="1"/>
  <c r="T27" i="2"/>
  <c r="AJ28" i="2"/>
  <c r="AJ29" i="2" s="1"/>
  <c r="AJ30" i="2" s="1"/>
  <c r="AJ31" i="2" s="1"/>
  <c r="AJ32" i="2" s="1"/>
  <c r="AK27" i="2"/>
  <c r="AH44" i="4"/>
  <c r="AH46" i="4" s="1"/>
  <c r="AH35" i="4"/>
  <c r="AJ39" i="2"/>
  <c r="AJ40" i="2" s="1"/>
  <c r="AJ41" i="2" s="1"/>
  <c r="AJ42" i="2" s="1"/>
  <c r="AJ43" i="2" s="1"/>
  <c r="AK38" i="2"/>
  <c r="AC27" i="2"/>
  <c r="AB28" i="2"/>
  <c r="AB29" i="2" s="1"/>
  <c r="AB30" i="2" s="1"/>
  <c r="AB31" i="2" s="1"/>
  <c r="AB32" i="2" s="1"/>
  <c r="Y10" i="4" l="1"/>
  <c r="AI10" i="2"/>
  <c r="Y10" i="2"/>
  <c r="AP44" i="2"/>
  <c r="AP46" i="2" s="1"/>
  <c r="AP35" i="2"/>
  <c r="AL49" i="2"/>
  <c r="AK50" i="2"/>
  <c r="AK51" i="2" s="1"/>
  <c r="AK52" i="2" s="1"/>
  <c r="AK53" i="2" s="1"/>
  <c r="AK54" i="2" s="1"/>
  <c r="AD38" i="4"/>
  <c r="AC39" i="4"/>
  <c r="AC40" i="4" s="1"/>
  <c r="AC41" i="4" s="1"/>
  <c r="AC42" i="4" s="1"/>
  <c r="AC43" i="4" s="1"/>
  <c r="U27" i="4"/>
  <c r="T28" i="4"/>
  <c r="T29" i="4" s="1"/>
  <c r="T30" i="4" s="1"/>
  <c r="T31" i="4" s="1"/>
  <c r="T32" i="4" s="1"/>
  <c r="V38" i="4"/>
  <c r="U39" i="4"/>
  <c r="U40" i="4" s="1"/>
  <c r="U41" i="4" s="1"/>
  <c r="U42" i="4" s="1"/>
  <c r="U43" i="4" s="1"/>
  <c r="AD27" i="4"/>
  <c r="AC28" i="4"/>
  <c r="AC29" i="4" s="1"/>
  <c r="AC30" i="4" s="1"/>
  <c r="AC31" i="4" s="1"/>
  <c r="AC32" i="4" s="1"/>
  <c r="U11" i="2"/>
  <c r="AL27" i="2"/>
  <c r="AK28" i="2"/>
  <c r="AK29" i="2" s="1"/>
  <c r="AK30" i="2" s="1"/>
  <c r="AK31" i="2" s="1"/>
  <c r="AK32" i="2" s="1"/>
  <c r="U27" i="2"/>
  <c r="T28" i="2"/>
  <c r="T29" i="2" s="1"/>
  <c r="T30" i="2" s="1"/>
  <c r="T31" i="2" s="1"/>
  <c r="T32" i="2" s="1"/>
  <c r="C27" i="2"/>
  <c r="C28" i="2" s="1"/>
  <c r="C29" i="2" s="1"/>
  <c r="C30" i="2" s="1"/>
  <c r="W12" i="2"/>
  <c r="AE12" i="2"/>
  <c r="AC12" i="2"/>
  <c r="AA12" i="2"/>
  <c r="AT27" i="4"/>
  <c r="AS28" i="4"/>
  <c r="AS29" i="4" s="1"/>
  <c r="AS30" i="4" s="1"/>
  <c r="AS31" i="4" s="1"/>
  <c r="AS32" i="4" s="1"/>
  <c r="AL27" i="4"/>
  <c r="AK28" i="4"/>
  <c r="AK29" i="4" s="1"/>
  <c r="AK30" i="4" s="1"/>
  <c r="AK31" i="4" s="1"/>
  <c r="AK32" i="4" s="1"/>
  <c r="AW10" i="2"/>
  <c r="AX10" i="2" s="1"/>
  <c r="AU10" i="2"/>
  <c r="U11" i="4"/>
  <c r="AI11" i="4" s="1"/>
  <c r="V49" i="2"/>
  <c r="U50" i="2"/>
  <c r="U51" i="2" s="1"/>
  <c r="U52" i="2" s="1"/>
  <c r="U53" i="2" s="1"/>
  <c r="U54" i="2" s="1"/>
  <c r="AD49" i="4"/>
  <c r="AC50" i="4"/>
  <c r="AC51" i="4" s="1"/>
  <c r="AC52" i="4" s="1"/>
  <c r="AC53" i="4" s="1"/>
  <c r="AC54" i="4" s="1"/>
  <c r="AD38" i="2"/>
  <c r="AC39" i="2"/>
  <c r="AC40" i="2" s="1"/>
  <c r="AC41" i="2" s="1"/>
  <c r="AC42" i="2" s="1"/>
  <c r="AC43" i="2" s="1"/>
  <c r="AW10" i="4"/>
  <c r="AX10" i="4" s="1"/>
  <c r="AU10" i="4"/>
  <c r="AD27" i="2"/>
  <c r="AC28" i="2"/>
  <c r="AC29" i="2" s="1"/>
  <c r="AC30" i="2" s="1"/>
  <c r="AC31" i="2" s="1"/>
  <c r="AC32" i="2" s="1"/>
  <c r="AD49" i="2"/>
  <c r="AC50" i="2"/>
  <c r="AC51" i="2" s="1"/>
  <c r="AC52" i="2" s="1"/>
  <c r="AC53" i="2" s="1"/>
  <c r="AC54" i="2" s="1"/>
  <c r="AT49" i="4"/>
  <c r="AS50" i="4"/>
  <c r="AS51" i="4" s="1"/>
  <c r="AS52" i="4" s="1"/>
  <c r="AS53" i="4" s="1"/>
  <c r="AS54" i="4" s="1"/>
  <c r="AT38" i="4"/>
  <c r="AS39" i="4"/>
  <c r="AS40" i="4" s="1"/>
  <c r="AS41" i="4" s="1"/>
  <c r="AS42" i="4" s="1"/>
  <c r="AS43" i="4" s="1"/>
  <c r="AT49" i="2"/>
  <c r="AS50" i="2"/>
  <c r="AS51" i="2" s="1"/>
  <c r="AS52" i="2" s="1"/>
  <c r="AS53" i="2" s="1"/>
  <c r="AS54" i="2" s="1"/>
  <c r="W12" i="4"/>
  <c r="AA12" i="4"/>
  <c r="C27" i="4"/>
  <c r="C28" i="4" s="1"/>
  <c r="C29" i="4" s="1"/>
  <c r="C30" i="4" s="1"/>
  <c r="AC12" i="4"/>
  <c r="AE12" i="4"/>
  <c r="AT27" i="2"/>
  <c r="AS28" i="2"/>
  <c r="AS29" i="2" s="1"/>
  <c r="AS30" i="2" s="1"/>
  <c r="AS31" i="2" s="1"/>
  <c r="AS32" i="2" s="1"/>
  <c r="AL49" i="4"/>
  <c r="AK50" i="4"/>
  <c r="AK51" i="4" s="1"/>
  <c r="AK52" i="4" s="1"/>
  <c r="AK53" i="4" s="1"/>
  <c r="AK54" i="4" s="1"/>
  <c r="AL38" i="4"/>
  <c r="AK39" i="4"/>
  <c r="AK40" i="4" s="1"/>
  <c r="AK41" i="4" s="1"/>
  <c r="AK42" i="4" s="1"/>
  <c r="AK43" i="4" s="1"/>
  <c r="V49" i="4"/>
  <c r="U50" i="4"/>
  <c r="U51" i="4" s="1"/>
  <c r="U52" i="4" s="1"/>
  <c r="U53" i="4" s="1"/>
  <c r="U54" i="4" s="1"/>
  <c r="AL38" i="2"/>
  <c r="AK39" i="2"/>
  <c r="AK40" i="2" s="1"/>
  <c r="AK41" i="2" s="1"/>
  <c r="AK42" i="2" s="1"/>
  <c r="AK43" i="2" s="1"/>
  <c r="AP44" i="4"/>
  <c r="AP46" i="4" s="1"/>
  <c r="AP35" i="4"/>
  <c r="V38" i="2"/>
  <c r="U39" i="2"/>
  <c r="U40" i="2" s="1"/>
  <c r="U41" i="2" s="1"/>
  <c r="U42" i="2" s="1"/>
  <c r="U43" i="2" s="1"/>
  <c r="AT38" i="2"/>
  <c r="AS39" i="2"/>
  <c r="AS40" i="2" s="1"/>
  <c r="AS41" i="2" s="1"/>
  <c r="AS42" i="2" s="1"/>
  <c r="AS43" i="2" s="1"/>
  <c r="U12" i="4" l="1"/>
  <c r="Y12" i="4" s="1"/>
  <c r="AD50" i="4"/>
  <c r="AD51" i="4" s="1"/>
  <c r="AD52" i="4" s="1"/>
  <c r="AD53" i="4" s="1"/>
  <c r="AD54" i="4" s="1"/>
  <c r="AE49" i="4"/>
  <c r="V39" i="4"/>
  <c r="V40" i="4" s="1"/>
  <c r="V41" i="4" s="1"/>
  <c r="V42" i="4" s="1"/>
  <c r="V43" i="4" s="1"/>
  <c r="W38" i="4"/>
  <c r="AT39" i="4"/>
  <c r="AT40" i="4" s="1"/>
  <c r="AT41" i="4" s="1"/>
  <c r="AT42" i="4" s="1"/>
  <c r="AT43" i="4" s="1"/>
  <c r="AU38" i="4"/>
  <c r="AM27" i="4"/>
  <c r="AL28" i="4"/>
  <c r="AL29" i="4" s="1"/>
  <c r="AL30" i="4" s="1"/>
  <c r="AL31" i="4" s="1"/>
  <c r="AL32" i="4" s="1"/>
  <c r="AL28" i="2"/>
  <c r="AL29" i="2" s="1"/>
  <c r="AL30" i="2" s="1"/>
  <c r="AL31" i="2" s="1"/>
  <c r="AL32" i="2" s="1"/>
  <c r="AM27" i="2"/>
  <c r="AL39" i="2"/>
  <c r="AL40" i="2" s="1"/>
  <c r="AL41" i="2" s="1"/>
  <c r="AL42" i="2" s="1"/>
  <c r="AL43" i="2" s="1"/>
  <c r="AM38" i="2"/>
  <c r="C31" i="4"/>
  <c r="C32" i="4" s="1"/>
  <c r="C33" i="4" s="1"/>
  <c r="C34" i="4" s="1"/>
  <c r="C35" i="4" s="1"/>
  <c r="AC13" i="4"/>
  <c r="AA13" i="4"/>
  <c r="AE13" i="4"/>
  <c r="W13" i="4"/>
  <c r="AG11" i="2"/>
  <c r="Y11" i="2"/>
  <c r="U12" i="2"/>
  <c r="AI12" i="2" s="1"/>
  <c r="V27" i="2"/>
  <c r="U28" i="2"/>
  <c r="U29" i="2" s="1"/>
  <c r="U30" i="2" s="1"/>
  <c r="U31" i="2" s="1"/>
  <c r="U32" i="2" s="1"/>
  <c r="AD50" i="2"/>
  <c r="AD51" i="2" s="1"/>
  <c r="AD52" i="2" s="1"/>
  <c r="AD53" i="2" s="1"/>
  <c r="AD54" i="2" s="1"/>
  <c r="AE49" i="2"/>
  <c r="AG11" i="4"/>
  <c r="Y11" i="4"/>
  <c r="AL50" i="2"/>
  <c r="AL51" i="2" s="1"/>
  <c r="AL52" i="2" s="1"/>
  <c r="AL53" i="2" s="1"/>
  <c r="AL54" i="2" s="1"/>
  <c r="AM49" i="2"/>
  <c r="V39" i="2"/>
  <c r="V40" i="2" s="1"/>
  <c r="V41" i="2" s="1"/>
  <c r="V42" i="2" s="1"/>
  <c r="V43" i="2" s="1"/>
  <c r="W38" i="2"/>
  <c r="AU27" i="4"/>
  <c r="AT28" i="4"/>
  <c r="AT29" i="4" s="1"/>
  <c r="AT30" i="4" s="1"/>
  <c r="AT31" i="4" s="1"/>
  <c r="AT32" i="4" s="1"/>
  <c r="AD39" i="2"/>
  <c r="AD40" i="2" s="1"/>
  <c r="AD41" i="2" s="1"/>
  <c r="AD42" i="2" s="1"/>
  <c r="AD43" i="2" s="1"/>
  <c r="AE38" i="2"/>
  <c r="AI11" i="2"/>
  <c r="AL50" i="4"/>
  <c r="AL51" i="4" s="1"/>
  <c r="AL52" i="4" s="1"/>
  <c r="AL53" i="4" s="1"/>
  <c r="AL54" i="4" s="1"/>
  <c r="AM49" i="4"/>
  <c r="AT50" i="2"/>
  <c r="AT51" i="2" s="1"/>
  <c r="AT52" i="2" s="1"/>
  <c r="AT53" i="2" s="1"/>
  <c r="AT54" i="2" s="1"/>
  <c r="AU49" i="2"/>
  <c r="V27" i="4"/>
  <c r="U28" i="4"/>
  <c r="U29" i="4" s="1"/>
  <c r="U30" i="4" s="1"/>
  <c r="U31" i="4" s="1"/>
  <c r="U32" i="4" s="1"/>
  <c r="AD39" i="4"/>
  <c r="AD40" i="4" s="1"/>
  <c r="AD41" i="4" s="1"/>
  <c r="AD42" i="4" s="1"/>
  <c r="AD43" i="4" s="1"/>
  <c r="AE38" i="4"/>
  <c r="V50" i="4"/>
  <c r="V51" i="4" s="1"/>
  <c r="V52" i="4" s="1"/>
  <c r="V53" i="4" s="1"/>
  <c r="V54" i="4" s="1"/>
  <c r="W49" i="4"/>
  <c r="AT50" i="4"/>
  <c r="AT51" i="4" s="1"/>
  <c r="AT52" i="4" s="1"/>
  <c r="AT53" i="4" s="1"/>
  <c r="AT54" i="4" s="1"/>
  <c r="AU49" i="4"/>
  <c r="AL39" i="4"/>
  <c r="AL40" i="4" s="1"/>
  <c r="AL41" i="4" s="1"/>
  <c r="AL42" i="4" s="1"/>
  <c r="AL43" i="4" s="1"/>
  <c r="AM38" i="4"/>
  <c r="AD28" i="2"/>
  <c r="AD29" i="2" s="1"/>
  <c r="AD30" i="2" s="1"/>
  <c r="AD31" i="2" s="1"/>
  <c r="AD32" i="2" s="1"/>
  <c r="AE27" i="2"/>
  <c r="AT39" i="2"/>
  <c r="AT40" i="2" s="1"/>
  <c r="AT41" i="2" s="1"/>
  <c r="AT42" i="2" s="1"/>
  <c r="AT43" i="2" s="1"/>
  <c r="AU38" i="2"/>
  <c r="AT28" i="2"/>
  <c r="AT29" i="2" s="1"/>
  <c r="AT30" i="2" s="1"/>
  <c r="AT31" i="2" s="1"/>
  <c r="AT32" i="2" s="1"/>
  <c r="AU27" i="2"/>
  <c r="V50" i="2"/>
  <c r="V51" i="2" s="1"/>
  <c r="V52" i="2" s="1"/>
  <c r="V53" i="2" s="1"/>
  <c r="V54" i="2" s="1"/>
  <c r="W49" i="2"/>
  <c r="C31" i="2"/>
  <c r="C32" i="2" s="1"/>
  <c r="C33" i="2" s="1"/>
  <c r="C34" i="2" s="1"/>
  <c r="C35" i="2" s="1"/>
  <c r="AE13" i="2"/>
  <c r="AC13" i="2"/>
  <c r="W13" i="2"/>
  <c r="AA13" i="2"/>
  <c r="AE27" i="4"/>
  <c r="AD28" i="4"/>
  <c r="AD29" i="4" s="1"/>
  <c r="AD30" i="4" s="1"/>
  <c r="AD31" i="4" s="1"/>
  <c r="AD32" i="4" s="1"/>
  <c r="U13" i="4" l="1"/>
  <c r="AI13" i="4" s="1"/>
  <c r="AI12" i="4"/>
  <c r="U13" i="2"/>
  <c r="Y13" i="2" s="1"/>
  <c r="AG12" i="4"/>
  <c r="AW12" i="4" s="1"/>
  <c r="AX12" i="4" s="1"/>
  <c r="AU11" i="2"/>
  <c r="AW11" i="2"/>
  <c r="AX11" i="2" s="1"/>
  <c r="W50" i="4"/>
  <c r="W51" i="4" s="1"/>
  <c r="W52" i="4" s="1"/>
  <c r="W53" i="4" s="1"/>
  <c r="W54" i="4" s="1"/>
  <c r="X49" i="4"/>
  <c r="X50" i="4" s="1"/>
  <c r="X51" i="4" s="1"/>
  <c r="X52" i="4" s="1"/>
  <c r="X53" i="4" s="1"/>
  <c r="X54" i="4" s="1"/>
  <c r="AV49" i="2"/>
  <c r="AV50" i="2" s="1"/>
  <c r="AV51" i="2" s="1"/>
  <c r="AV52" i="2" s="1"/>
  <c r="AV53" i="2" s="1"/>
  <c r="AV54" i="2" s="1"/>
  <c r="AU50" i="2"/>
  <c r="AU51" i="2" s="1"/>
  <c r="AU52" i="2" s="1"/>
  <c r="AU53" i="2" s="1"/>
  <c r="AU54" i="2" s="1"/>
  <c r="AF38" i="2"/>
  <c r="AF39" i="2" s="1"/>
  <c r="AF40" i="2" s="1"/>
  <c r="AF41" i="2" s="1"/>
  <c r="AF42" i="2" s="1"/>
  <c r="AF43" i="2" s="1"/>
  <c r="AE39" i="2"/>
  <c r="AE40" i="2" s="1"/>
  <c r="AE41" i="2" s="1"/>
  <c r="AE42" i="2" s="1"/>
  <c r="AE43" i="2" s="1"/>
  <c r="AM39" i="4"/>
  <c r="AM40" i="4" s="1"/>
  <c r="AM41" i="4" s="1"/>
  <c r="AM42" i="4" s="1"/>
  <c r="AM43" i="4" s="1"/>
  <c r="AN38" i="4"/>
  <c r="AN39" i="4" s="1"/>
  <c r="AN40" i="4" s="1"/>
  <c r="AN41" i="4" s="1"/>
  <c r="AN42" i="4" s="1"/>
  <c r="AN43" i="4" s="1"/>
  <c r="AU39" i="2"/>
  <c r="AU40" i="2" s="1"/>
  <c r="AU41" i="2" s="1"/>
  <c r="AU42" i="2" s="1"/>
  <c r="AU43" i="2" s="1"/>
  <c r="AV38" i="2"/>
  <c r="AV39" i="2" s="1"/>
  <c r="AV40" i="2" s="1"/>
  <c r="AV41" i="2" s="1"/>
  <c r="AV42" i="2" s="1"/>
  <c r="AV43" i="2" s="1"/>
  <c r="AM50" i="4"/>
  <c r="AM51" i="4" s="1"/>
  <c r="AM52" i="4" s="1"/>
  <c r="AM53" i="4" s="1"/>
  <c r="AM54" i="4" s="1"/>
  <c r="AN49" i="4"/>
  <c r="AN50" i="4" s="1"/>
  <c r="AN51" i="4" s="1"/>
  <c r="AN52" i="4" s="1"/>
  <c r="AN53" i="4" s="1"/>
  <c r="AN54" i="4" s="1"/>
  <c r="AN49" i="2"/>
  <c r="AN50" i="2" s="1"/>
  <c r="AN51" i="2" s="1"/>
  <c r="AN52" i="2" s="1"/>
  <c r="AN53" i="2" s="1"/>
  <c r="AN54" i="2" s="1"/>
  <c r="AM50" i="2"/>
  <c r="AM51" i="2" s="1"/>
  <c r="AM52" i="2" s="1"/>
  <c r="AM53" i="2" s="1"/>
  <c r="AM54" i="2" s="1"/>
  <c r="AN27" i="4"/>
  <c r="AN28" i="4" s="1"/>
  <c r="AN29" i="4" s="1"/>
  <c r="AN30" i="4" s="1"/>
  <c r="AN31" i="4" s="1"/>
  <c r="AN32" i="4" s="1"/>
  <c r="AM28" i="4"/>
  <c r="AM29" i="4" s="1"/>
  <c r="AM30" i="4" s="1"/>
  <c r="AM31" i="4" s="1"/>
  <c r="AM32" i="4" s="1"/>
  <c r="AE50" i="4"/>
  <c r="AE51" i="4" s="1"/>
  <c r="AE52" i="4" s="1"/>
  <c r="AE53" i="4" s="1"/>
  <c r="AE54" i="4" s="1"/>
  <c r="AF49" i="4"/>
  <c r="AF50" i="4" s="1"/>
  <c r="AF51" i="4" s="1"/>
  <c r="AF52" i="4" s="1"/>
  <c r="AF53" i="4" s="1"/>
  <c r="AF54" i="4" s="1"/>
  <c r="AF27" i="4"/>
  <c r="AF28" i="4" s="1"/>
  <c r="AF29" i="4" s="1"/>
  <c r="AF30" i="4" s="1"/>
  <c r="AF31" i="4" s="1"/>
  <c r="AF32" i="4" s="1"/>
  <c r="AE28" i="4"/>
  <c r="AE29" i="4" s="1"/>
  <c r="AE30" i="4" s="1"/>
  <c r="AE31" i="4" s="1"/>
  <c r="AE32" i="4" s="1"/>
  <c r="AU50" i="4"/>
  <c r="AU51" i="4" s="1"/>
  <c r="AU52" i="4" s="1"/>
  <c r="AU53" i="4" s="1"/>
  <c r="AU54" i="4" s="1"/>
  <c r="AV49" i="4"/>
  <c r="AV50" i="4" s="1"/>
  <c r="AV51" i="4" s="1"/>
  <c r="AV52" i="4" s="1"/>
  <c r="AV53" i="4" s="1"/>
  <c r="AV54" i="4" s="1"/>
  <c r="AV38" i="4"/>
  <c r="AV39" i="4" s="1"/>
  <c r="AV40" i="4" s="1"/>
  <c r="AV41" i="4" s="1"/>
  <c r="AV42" i="4" s="1"/>
  <c r="AV43" i="4" s="1"/>
  <c r="AU39" i="4"/>
  <c r="AU40" i="4" s="1"/>
  <c r="AU41" i="4" s="1"/>
  <c r="AU42" i="4" s="1"/>
  <c r="AU43" i="4" s="1"/>
  <c r="C36" i="4"/>
  <c r="C37" i="4" s="1"/>
  <c r="C38" i="4" s="1"/>
  <c r="C39" i="4" s="1"/>
  <c r="AE14" i="4"/>
  <c r="AA14" i="4"/>
  <c r="W14" i="4"/>
  <c r="AC14" i="4"/>
  <c r="AU12" i="4"/>
  <c r="AN27" i="2"/>
  <c r="AN28" i="2" s="1"/>
  <c r="AN29" i="2" s="1"/>
  <c r="AN30" i="2" s="1"/>
  <c r="AN31" i="2" s="1"/>
  <c r="AN32" i="2" s="1"/>
  <c r="AM28" i="2"/>
  <c r="AM29" i="2" s="1"/>
  <c r="AM30" i="2" s="1"/>
  <c r="AM31" i="2" s="1"/>
  <c r="AM32" i="2" s="1"/>
  <c r="AE39" i="4"/>
  <c r="AE40" i="4" s="1"/>
  <c r="AE41" i="4" s="1"/>
  <c r="AE42" i="4" s="1"/>
  <c r="AE43" i="4" s="1"/>
  <c r="AF38" i="4"/>
  <c r="AF39" i="4" s="1"/>
  <c r="AF40" i="4" s="1"/>
  <c r="AF41" i="4" s="1"/>
  <c r="AF42" i="4" s="1"/>
  <c r="AF43" i="4" s="1"/>
  <c r="AV27" i="2"/>
  <c r="AV28" i="2" s="1"/>
  <c r="AV29" i="2" s="1"/>
  <c r="AV30" i="2" s="1"/>
  <c r="AV31" i="2" s="1"/>
  <c r="AV32" i="2" s="1"/>
  <c r="AU28" i="2"/>
  <c r="AU29" i="2" s="1"/>
  <c r="AU30" i="2" s="1"/>
  <c r="AU31" i="2" s="1"/>
  <c r="AU32" i="2" s="1"/>
  <c r="V28" i="2"/>
  <c r="V29" i="2" s="1"/>
  <c r="V30" i="2" s="1"/>
  <c r="V31" i="2" s="1"/>
  <c r="V32" i="2" s="1"/>
  <c r="W9" i="2" s="1"/>
  <c r="W27" i="2"/>
  <c r="AA9" i="2"/>
  <c r="AA21" i="2" s="1"/>
  <c r="AC9" i="2"/>
  <c r="AE9" i="2"/>
  <c r="AE21" i="2" s="1"/>
  <c r="W39" i="2"/>
  <c r="W40" i="2" s="1"/>
  <c r="W41" i="2" s="1"/>
  <c r="W42" i="2" s="1"/>
  <c r="W43" i="2" s="1"/>
  <c r="X38" i="2"/>
  <c r="X39" i="2" s="1"/>
  <c r="X40" i="2" s="1"/>
  <c r="X41" i="2" s="1"/>
  <c r="X42" i="2" s="1"/>
  <c r="X43" i="2" s="1"/>
  <c r="AV27" i="4"/>
  <c r="AV28" i="4" s="1"/>
  <c r="AV29" i="4" s="1"/>
  <c r="AV30" i="4" s="1"/>
  <c r="AV31" i="4" s="1"/>
  <c r="AV32" i="4" s="1"/>
  <c r="AU28" i="4"/>
  <c r="AU29" i="4" s="1"/>
  <c r="AU30" i="4" s="1"/>
  <c r="AU31" i="4" s="1"/>
  <c r="AU32" i="4" s="1"/>
  <c r="C36" i="2"/>
  <c r="C37" i="2" s="1"/>
  <c r="C38" i="2" s="1"/>
  <c r="C39" i="2" s="1"/>
  <c r="W14" i="2"/>
  <c r="AE14" i="2"/>
  <c r="AC14" i="2"/>
  <c r="AA14" i="2"/>
  <c r="AE28" i="2"/>
  <c r="AE29" i="2" s="1"/>
  <c r="AE30" i="2" s="1"/>
  <c r="AE31" i="2" s="1"/>
  <c r="AE32" i="2" s="1"/>
  <c r="AF27" i="2"/>
  <c r="AF28" i="2" s="1"/>
  <c r="AF29" i="2" s="1"/>
  <c r="AF30" i="2" s="1"/>
  <c r="AF31" i="2" s="1"/>
  <c r="AF32" i="2" s="1"/>
  <c r="AU11" i="4"/>
  <c r="AW11" i="4"/>
  <c r="AX11" i="4" s="1"/>
  <c r="Y12" i="2"/>
  <c r="AG12" i="2"/>
  <c r="AM39" i="2"/>
  <c r="AM40" i="2" s="1"/>
  <c r="AM41" i="2" s="1"/>
  <c r="AM42" i="2" s="1"/>
  <c r="AM43" i="2" s="1"/>
  <c r="AN38" i="2"/>
  <c r="AN39" i="2" s="1"/>
  <c r="AN40" i="2" s="1"/>
  <c r="AN41" i="2" s="1"/>
  <c r="AN42" i="2" s="1"/>
  <c r="AN43" i="2" s="1"/>
  <c r="W39" i="4"/>
  <c r="W40" i="4" s="1"/>
  <c r="W41" i="4" s="1"/>
  <c r="W42" i="4" s="1"/>
  <c r="W43" i="4" s="1"/>
  <c r="X38" i="4"/>
  <c r="X39" i="4" s="1"/>
  <c r="X40" i="4" s="1"/>
  <c r="X41" i="4" s="1"/>
  <c r="X42" i="4" s="1"/>
  <c r="X43" i="4" s="1"/>
  <c r="X49" i="2"/>
  <c r="X50" i="2" s="1"/>
  <c r="X51" i="2" s="1"/>
  <c r="X52" i="2" s="1"/>
  <c r="X53" i="2" s="1"/>
  <c r="X54" i="2" s="1"/>
  <c r="W50" i="2"/>
  <c r="W51" i="2" s="1"/>
  <c r="W52" i="2" s="1"/>
  <c r="W53" i="2" s="1"/>
  <c r="W54" i="2" s="1"/>
  <c r="W27" i="4"/>
  <c r="V28" i="4"/>
  <c r="V29" i="4" s="1"/>
  <c r="V30" i="4" s="1"/>
  <c r="V31" i="4" s="1"/>
  <c r="V32" i="4" s="1"/>
  <c r="AC9" i="4" s="1"/>
  <c r="AE9" i="4"/>
  <c r="AE21" i="4" s="1"/>
  <c r="AA9" i="4"/>
  <c r="AA21" i="4" s="1"/>
  <c r="AF49" i="2"/>
  <c r="AF50" i="2" s="1"/>
  <c r="AF51" i="2" s="1"/>
  <c r="AF52" i="2" s="1"/>
  <c r="AF53" i="2" s="1"/>
  <c r="AF54" i="2" s="1"/>
  <c r="AE50" i="2"/>
  <c r="AE51" i="2" s="1"/>
  <c r="AE52" i="2" s="1"/>
  <c r="AE53" i="2" s="1"/>
  <c r="AE54" i="2" s="1"/>
  <c r="AG13" i="4" l="1"/>
  <c r="AW13" i="4" s="1"/>
  <c r="AX13" i="4" s="1"/>
  <c r="Y13" i="4"/>
  <c r="U14" i="2"/>
  <c r="AG14" i="2" s="1"/>
  <c r="W9" i="4"/>
  <c r="AI9" i="4" s="1"/>
  <c r="AI21" i="4" s="1"/>
  <c r="AI13" i="2"/>
  <c r="AG13" i="2"/>
  <c r="AW13" i="2" s="1"/>
  <c r="AX13" i="2" s="1"/>
  <c r="AC21" i="4"/>
  <c r="U9" i="4"/>
  <c r="AC21" i="2"/>
  <c r="U9" i="2"/>
  <c r="C40" i="2"/>
  <c r="C41" i="2" s="1"/>
  <c r="C42" i="2" s="1"/>
  <c r="C43" i="2" s="1"/>
  <c r="C44" i="2" s="1"/>
  <c r="AA15" i="2"/>
  <c r="AE15" i="2"/>
  <c r="AC15" i="2"/>
  <c r="W15" i="2"/>
  <c r="W28" i="2"/>
  <c r="W29" i="2" s="1"/>
  <c r="W30" i="2" s="1"/>
  <c r="W31" i="2" s="1"/>
  <c r="W32" i="2" s="1"/>
  <c r="X27" i="2"/>
  <c r="X28" i="2" s="1"/>
  <c r="X29" i="2" s="1"/>
  <c r="X30" i="2" s="1"/>
  <c r="X31" i="2" s="1"/>
  <c r="X32" i="2" s="1"/>
  <c r="C40" i="4"/>
  <c r="C41" i="4" s="1"/>
  <c r="C42" i="4" s="1"/>
  <c r="C43" i="4" s="1"/>
  <c r="C44" i="4" s="1"/>
  <c r="W15" i="4"/>
  <c r="AC15" i="4"/>
  <c r="AA15" i="4"/>
  <c r="AE15" i="4"/>
  <c r="AW12" i="2"/>
  <c r="AX12" i="2" s="1"/>
  <c r="AU12" i="2"/>
  <c r="X27" i="4"/>
  <c r="X28" i="4" s="1"/>
  <c r="X29" i="4" s="1"/>
  <c r="X30" i="4" s="1"/>
  <c r="X31" i="4" s="1"/>
  <c r="X32" i="4" s="1"/>
  <c r="W28" i="4"/>
  <c r="W29" i="4" s="1"/>
  <c r="W30" i="4" s="1"/>
  <c r="W31" i="4" s="1"/>
  <c r="W32" i="4" s="1"/>
  <c r="U14" i="4"/>
  <c r="AI14" i="4" s="1"/>
  <c r="AU13" i="4" l="1"/>
  <c r="AU13" i="2"/>
  <c r="AI14" i="2"/>
  <c r="Y14" i="2"/>
  <c r="U15" i="2"/>
  <c r="AI15" i="2" s="1"/>
  <c r="AE16" i="2"/>
  <c r="C45" i="2"/>
  <c r="C46" i="2" s="1"/>
  <c r="C47" i="2" s="1"/>
  <c r="C48" i="2" s="1"/>
  <c r="W16" i="2"/>
  <c r="AA16" i="2"/>
  <c r="AC16" i="2"/>
  <c r="AG9" i="2"/>
  <c r="Y9" i="2"/>
  <c r="Y9" i="4"/>
  <c r="AG9" i="4"/>
  <c r="C45" i="4"/>
  <c r="C46" i="4" s="1"/>
  <c r="C47" i="4" s="1"/>
  <c r="C48" i="4" s="1"/>
  <c r="AE16" i="4"/>
  <c r="AC16" i="4"/>
  <c r="AA16" i="4"/>
  <c r="W16" i="4"/>
  <c r="AW14" i="2"/>
  <c r="AX14" i="2" s="1"/>
  <c r="AU14" i="2"/>
  <c r="AG14" i="4"/>
  <c r="Y14" i="4"/>
  <c r="U15" i="4"/>
  <c r="AI9" i="2"/>
  <c r="AI21" i="2" s="1"/>
  <c r="AG15" i="2" l="1"/>
  <c r="AU15" i="2" s="1"/>
  <c r="Y15" i="2"/>
  <c r="U16" i="2"/>
  <c r="AG16" i="2" s="1"/>
  <c r="AU14" i="4"/>
  <c r="AW14" i="4"/>
  <c r="AX14" i="4" s="1"/>
  <c r="U16" i="4"/>
  <c r="AI16" i="4" s="1"/>
  <c r="C49" i="2"/>
  <c r="C50" i="2" s="1"/>
  <c r="C51" i="2" s="1"/>
  <c r="C52" i="2" s="1"/>
  <c r="C53" i="2" s="1"/>
  <c r="W17" i="2"/>
  <c r="AE17" i="2"/>
  <c r="AC17" i="2"/>
  <c r="AA17" i="2"/>
  <c r="AU9" i="2"/>
  <c r="AW9" i="2"/>
  <c r="AX9" i="2" s="1"/>
  <c r="AW9" i="4"/>
  <c r="AX9" i="4" s="1"/>
  <c r="AU9" i="4"/>
  <c r="Y15" i="4"/>
  <c r="AG15" i="4"/>
  <c r="AI15" i="4"/>
  <c r="C49" i="4"/>
  <c r="C50" i="4" s="1"/>
  <c r="C51" i="4" s="1"/>
  <c r="C52" i="4" s="1"/>
  <c r="C53" i="4" s="1"/>
  <c r="AC17" i="4"/>
  <c r="AA17" i="4"/>
  <c r="W17" i="4"/>
  <c r="AE17" i="4"/>
  <c r="AW15" i="2" l="1"/>
  <c r="AX15" i="2" s="1"/>
  <c r="AI16" i="2"/>
  <c r="Y16" i="2"/>
  <c r="U17" i="2"/>
  <c r="Y17" i="2" s="1"/>
  <c r="AW15" i="4"/>
  <c r="AX15" i="4" s="1"/>
  <c r="AU15" i="4"/>
  <c r="AW16" i="2"/>
  <c r="AX16" i="2" s="1"/>
  <c r="AU16" i="2"/>
  <c r="AG16" i="4"/>
  <c r="Y16" i="4"/>
  <c r="U17" i="4"/>
  <c r="AI17" i="4" s="1"/>
  <c r="C54" i="4"/>
  <c r="C55" i="4" s="1"/>
  <c r="C56" i="4" s="1"/>
  <c r="C57" i="4" s="1"/>
  <c r="AA18" i="4"/>
  <c r="W18" i="4"/>
  <c r="AE18" i="4"/>
  <c r="AC18" i="4"/>
  <c r="C54" i="2"/>
  <c r="C55" i="2" s="1"/>
  <c r="C56" i="2" s="1"/>
  <c r="C57" i="2" s="1"/>
  <c r="AC18" i="2"/>
  <c r="AA18" i="2"/>
  <c r="W18" i="2"/>
  <c r="AE18" i="2"/>
  <c r="AI17" i="2" l="1"/>
  <c r="AG17" i="2"/>
  <c r="AU17" i="2" s="1"/>
  <c r="U18" i="4"/>
  <c r="Y18" i="4" s="1"/>
  <c r="AG17" i="4"/>
  <c r="Y17" i="4"/>
  <c r="C58" i="2"/>
  <c r="C59" i="2" s="1"/>
  <c r="C60" i="2" s="1"/>
  <c r="C61" i="2" s="1"/>
  <c r="AA19" i="2"/>
  <c r="AC19" i="2"/>
  <c r="AE19" i="2"/>
  <c r="W19" i="2"/>
  <c r="C58" i="4"/>
  <c r="C59" i="4" s="1"/>
  <c r="C60" i="4" s="1"/>
  <c r="C61" i="4" s="1"/>
  <c r="AE19" i="4"/>
  <c r="AC19" i="4"/>
  <c r="AA19" i="4"/>
  <c r="W19" i="4"/>
  <c r="U18" i="2"/>
  <c r="AI18" i="2" s="1"/>
  <c r="AU16" i="4"/>
  <c r="AW16" i="4"/>
  <c r="AX16" i="4" s="1"/>
  <c r="AW17" i="2" l="1"/>
  <c r="AX17" i="2" s="1"/>
  <c r="AI18" i="4"/>
  <c r="AG18" i="4"/>
  <c r="AW18" i="4" s="1"/>
  <c r="AX18" i="4" s="1"/>
  <c r="U19" i="4"/>
  <c r="Y19" i="4" s="1"/>
  <c r="C62" i="4"/>
  <c r="C63" i="4" s="1"/>
  <c r="C64" i="4" s="1"/>
  <c r="C65" i="4" s="1"/>
  <c r="C66" i="4" s="1"/>
  <c r="W20" i="4"/>
  <c r="AE20" i="4"/>
  <c r="AC20" i="4"/>
  <c r="AA20" i="4"/>
  <c r="U19" i="2"/>
  <c r="AI19" i="2" s="1"/>
  <c r="C62" i="2"/>
  <c r="C63" i="2" s="1"/>
  <c r="C64" i="2" s="1"/>
  <c r="C65" i="2" s="1"/>
  <c r="C66" i="2" s="1"/>
  <c r="W20" i="2"/>
  <c r="AA20" i="2"/>
  <c r="AC20" i="2"/>
  <c r="AE20" i="2"/>
  <c r="Y18" i="2"/>
  <c r="AG18" i="2"/>
  <c r="AW17" i="4"/>
  <c r="AX17" i="4" s="1"/>
  <c r="AU17" i="4"/>
  <c r="AU18" i="4" l="1"/>
  <c r="AI19" i="4"/>
  <c r="AG19" i="4"/>
  <c r="AW19" i="4" s="1"/>
  <c r="AX19" i="4" s="1"/>
  <c r="U20" i="4"/>
  <c r="AG20" i="4" s="1"/>
  <c r="AW18" i="2"/>
  <c r="AX18" i="2" s="1"/>
  <c r="AU18" i="2"/>
  <c r="AG19" i="2"/>
  <c r="Y19" i="2"/>
  <c r="U20" i="2"/>
  <c r="AU19" i="4" l="1"/>
  <c r="Y20" i="4"/>
  <c r="AI20" i="4"/>
  <c r="Y20" i="2"/>
  <c r="AG20" i="2"/>
  <c r="AW19" i="2"/>
  <c r="AX19" i="2" s="1"/>
  <c r="AU19" i="2"/>
  <c r="AI20" i="2"/>
  <c r="AU20" i="4"/>
  <c r="AW20" i="4"/>
  <c r="AX20" i="4" s="1"/>
  <c r="AW20" i="2" l="1"/>
  <c r="AX20" i="2" s="1"/>
  <c r="AU20" i="2"/>
</calcChain>
</file>

<file path=xl/sharedStrings.xml><?xml version="1.0" encoding="utf-8"?>
<sst xmlns="http://schemas.openxmlformats.org/spreadsheetml/2006/main" count="363" uniqueCount="33">
  <si>
    <t>C O N F I G U R A T I O N</t>
  </si>
  <si>
    <t>Cheat sheet</t>
  </si>
  <si>
    <t>M O N T H L Y   B R E A K D O W N</t>
  </si>
  <si>
    <t>Office Day</t>
  </si>
  <si>
    <t>Pick Month</t>
  </si>
  <si>
    <t>Vacation</t>
  </si>
  <si>
    <t>X</t>
  </si>
  <si>
    <t>Work Days</t>
  </si>
  <si>
    <t>Home Day</t>
  </si>
  <si>
    <t>Vacations</t>
  </si>
  <si>
    <t>Holidays</t>
  </si>
  <si>
    <t>OnCall Off</t>
  </si>
  <si>
    <t>Pick Year</t>
  </si>
  <si>
    <t>Holiday</t>
  </si>
  <si>
    <t>H</t>
  </si>
  <si>
    <t>OC</t>
  </si>
  <si>
    <t>L</t>
  </si>
  <si>
    <t>M</t>
  </si>
  <si>
    <t>J</t>
  </si>
  <si>
    <t>V</t>
  </si>
  <si>
    <t>This week</t>
  </si>
  <si>
    <t>WW</t>
  </si>
  <si>
    <t>S</t>
  </si>
  <si>
    <t>D</t>
  </si>
  <si>
    <t>Office</t>
  </si>
  <si>
    <t>January</t>
  </si>
  <si>
    <t>Office Day Goal</t>
  </si>
  <si>
    <t>Month Average</t>
  </si>
  <si>
    <t>Work Site Pattern Goal</t>
  </si>
  <si>
    <t>Week Goal</t>
  </si>
  <si>
    <t>Average Best 10/12</t>
  </si>
  <si>
    <t>Average Best 8/12</t>
  </si>
  <si>
    <t>Average Best 8/10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</si>
</sst>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"/>
    <numFmt numFmtId="165" formatCode="mmmm"/>
    <numFmt numFmtId="166" formatCode="0.0"/>
    <numFmt numFmtId="167" formatCode="d&quot;-&quot;mmm"/>
    <numFmt numFmtId="168" formatCode="d&quot; &quot;mmm&quot; &quot;yyyy"/>
  </numFmts>
  <fonts count="25">
    <font>
      <sz val="10"/>
      <color rgb="FF000000"/>
      <name val="Arial"/>
      <scheme val="minor"/>
    </font>
    <font>
      <sz val="8"/>
      <color rgb="FFFFFFFF"/>
      <name val="Montserrat"/>
    </font>
    <font>
      <sz val="8"/>
      <color rgb="FF000000"/>
      <name val="Montserrat"/>
    </font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9"/>
      <color rgb="FF000000"/>
      <name val="Montserrat"/>
    </font>
    <font>
      <sz val="10"/>
      <name val="Arial"/>
    </font>
    <font>
      <i/>
      <sz val="7"/>
      <color rgb="FF000000"/>
      <name val="Montserrat"/>
    </font>
    <font>
      <b/>
      <i/>
      <sz val="7"/>
      <color rgb="FF000000"/>
      <name val="Montserrat"/>
    </font>
    <font>
      <b/>
      <sz val="8"/>
      <color rgb="FF000000"/>
      <name val="Montserrat"/>
    </font>
    <font>
      <b/>
      <sz val="7"/>
      <color rgb="FF000000"/>
      <name val="Montserrat"/>
    </font>
    <font>
      <i/>
      <sz val="8"/>
      <color rgb="FF000000"/>
      <name val="Montserrat"/>
    </font>
    <font>
      <sz val="10"/>
      <color rgb="FF000000"/>
      <name val="Montserrat"/>
    </font>
    <font>
      <sz val="11"/>
      <color rgb="FF000000"/>
      <name val="Montserrat"/>
    </font>
    <font>
      <sz val="7"/>
      <color rgb="FF000000"/>
      <name val="Montserrat"/>
    </font>
    <font>
      <sz val="9"/>
      <color rgb="FFFFFFFF"/>
      <name val="&quot;Google Sans Mono&quot;"/>
    </font>
    <font>
      <sz val="5"/>
      <color rgb="FF000000"/>
      <name val="Montserrat"/>
    </font>
    <font>
      <sz val="7"/>
      <color rgb="FFFFFFFF"/>
      <name val="Montserrat"/>
    </font>
    <font>
      <sz val="8"/>
      <color rgb="FFD9D9D9"/>
      <name val="Montserrat"/>
    </font>
    <font>
      <sz val="8"/>
      <color theme="4"/>
      <name val="Montserrat"/>
    </font>
    <font>
      <sz val="8"/>
      <color theme="8"/>
      <name val="Montserrat"/>
    </font>
    <font>
      <sz val="8"/>
      <color theme="7"/>
      <name val="Montserrat"/>
    </font>
    <font>
      <sz val="8"/>
      <color theme="6"/>
      <name val="Montserrat"/>
    </font>
    <font>
      <sz val="8"/>
      <color theme="5"/>
      <name val="Montserrat"/>
    </font>
    <font>
      <sz val="8"/>
      <color theme="1"/>
      <name val="Montserrat"/>
    </font>
  </fonts>
  <fills count="1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rgb="FFFFECE1"/>
        <bgColor rgb="FFFFECE1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8F6FA"/>
        <bgColor rgb="FFE8F6FA"/>
      </patternFill>
    </fill>
    <fill>
      <patternFill patternType="solid">
        <fgColor rgb="FFEFECF8"/>
        <bgColor rgb="FFEFECF8"/>
      </patternFill>
    </fill>
    <fill>
      <patternFill patternType="solid">
        <fgColor rgb="FFF8FDFF"/>
        <bgColor rgb="FFF8FDFF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EAEDFD"/>
        <bgColor rgb="FFEAEDFD"/>
      </patternFill>
    </fill>
    <fill>
      <patternFill patternType="solid">
        <fgColor rgb="FFF5E5ED"/>
        <bgColor rgb="FFF5E5ED"/>
      </patternFill>
    </fill>
    <fill>
      <patternFill patternType="solid">
        <fgColor rgb="FFF5F3EF"/>
        <bgColor rgb="FFF5F3EF"/>
      </patternFill>
    </fill>
  </fills>
  <borders count="45">
    <border>
      <left/>
      <right/>
      <top/>
      <bottom/>
      <diagonal/>
    </border>
    <border>
      <left style="medium">
        <color rgb="FFD9D9D9"/>
      </left>
      <right/>
      <top style="medium">
        <color rgb="FFD9D9D9"/>
      </top>
      <bottom/>
      <diagonal/>
    </border>
    <border>
      <left/>
      <right/>
      <top style="medium">
        <color rgb="FFD9D9D9"/>
      </top>
      <bottom/>
      <diagonal/>
    </border>
    <border>
      <left/>
      <right style="medium">
        <color rgb="FFD9D9D9"/>
      </right>
      <top style="medium">
        <color rgb="FFD9D9D9"/>
      </top>
      <bottom/>
      <diagonal/>
    </border>
    <border>
      <left style="medium">
        <color rgb="FFD9D9D9"/>
      </left>
      <right/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/>
      <bottom style="medium">
        <color rgb="FFD9D9D9"/>
      </bottom>
      <diagonal/>
    </border>
    <border>
      <left/>
      <right/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dotted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/>
      <bottom style="hair">
        <color rgb="FFCCCCCC"/>
      </bottom>
      <diagonal/>
    </border>
    <border>
      <left/>
      <right/>
      <top/>
      <bottom style="hair">
        <color rgb="FFCCCCCC"/>
      </bottom>
      <diagonal/>
    </border>
    <border>
      <left style="hair">
        <color rgb="FFCCCCCC"/>
      </left>
      <right/>
      <top/>
      <bottom style="hair">
        <color rgb="FFCCCCCC"/>
      </bottom>
      <diagonal/>
    </border>
    <border>
      <left/>
      <right style="medium">
        <color rgb="FFD9D9D9"/>
      </right>
      <top/>
      <bottom style="hair">
        <color rgb="FFCCCCCC"/>
      </bottom>
      <diagonal/>
    </border>
    <border>
      <left/>
      <right/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/>
      <top style="hair">
        <color rgb="FFCCCCCC"/>
      </top>
      <bottom style="medium">
        <color rgb="FFD9D9D9"/>
      </bottom>
      <diagonal/>
    </border>
    <border>
      <left/>
      <right/>
      <top style="hair">
        <color rgb="FFCCCCCC"/>
      </top>
      <bottom style="medium">
        <color rgb="FFD9D9D9"/>
      </bottom>
      <diagonal/>
    </border>
    <border>
      <left style="medium">
        <color rgb="FFD9D9D9"/>
      </left>
      <right/>
      <top style="medium">
        <color rgb="FFD9D9D9"/>
      </top>
      <bottom style="hair">
        <color rgb="FFCCCCCC"/>
      </bottom>
      <diagonal/>
    </border>
    <border>
      <left style="hair">
        <color rgb="FFCCCCCC"/>
      </left>
      <right/>
      <top style="medium">
        <color rgb="FFD9D9D9"/>
      </top>
      <bottom style="hair">
        <color rgb="FFCCCCCC"/>
      </bottom>
      <diagonal/>
    </border>
    <border>
      <left/>
      <right style="hair">
        <color rgb="FFCCCCCC"/>
      </right>
      <top style="medium">
        <color rgb="FFD9D9D9"/>
      </top>
      <bottom style="hair">
        <color rgb="FFCCCCCC"/>
      </bottom>
      <diagonal/>
    </border>
    <border>
      <left/>
      <right style="medium">
        <color rgb="FFD9D9D9"/>
      </right>
      <top style="medium">
        <color rgb="FFD9D9D9"/>
      </top>
      <bottom style="hair">
        <color rgb="FFCCCCCC"/>
      </bottom>
      <diagonal/>
    </border>
    <border>
      <left/>
      <right/>
      <top style="medium">
        <color rgb="FFD9D9D9"/>
      </top>
      <bottom style="hair">
        <color rgb="FFCCCCCC"/>
      </bottom>
      <diagonal/>
    </border>
    <border>
      <left/>
      <right style="hair">
        <color rgb="FFCCCCCC"/>
      </right>
      <top/>
      <bottom style="hair">
        <color rgb="FFCCCCCC"/>
      </bottom>
      <diagonal/>
    </border>
    <border>
      <left style="medium">
        <color rgb="FFD9D9D9"/>
      </left>
      <right/>
      <top style="hair">
        <color rgb="FFCCCCCC"/>
      </top>
      <bottom style="hair">
        <color rgb="FFCCCCCC"/>
      </bottom>
      <diagonal/>
    </border>
    <border>
      <left/>
      <right/>
      <top style="hair">
        <color rgb="FFCCCCCC"/>
      </top>
      <bottom style="hair">
        <color rgb="FFCCCCCC"/>
      </bottom>
      <diagonal/>
    </border>
    <border>
      <left style="hair">
        <color rgb="FFCCCCCC"/>
      </left>
      <right/>
      <top/>
      <bottom style="medium">
        <color rgb="FFD9D9D9"/>
      </bottom>
      <diagonal/>
    </border>
    <border>
      <left style="medium">
        <color rgb="FFD9D9D9"/>
      </left>
      <right style="hair">
        <color rgb="FFD9D9D9"/>
      </right>
      <top style="medium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medium">
        <color rgb="FFD9D9D9"/>
      </top>
      <bottom style="hair">
        <color rgb="FFD9D9D9"/>
      </bottom>
      <diagonal/>
    </border>
    <border>
      <left style="hair">
        <color rgb="FFD9D9D9"/>
      </left>
      <right style="medium">
        <color rgb="FFD9D9D9"/>
      </right>
      <top style="medium">
        <color rgb="FFD9D9D9"/>
      </top>
      <bottom style="hair">
        <color rgb="FFD9D9D9"/>
      </bottom>
      <diagonal/>
    </border>
    <border>
      <left style="medium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hair">
        <color rgb="FFD9D9D9"/>
      </bottom>
      <diagonal/>
    </border>
    <border>
      <left style="hair">
        <color rgb="FFD9D9D9"/>
      </left>
      <right style="medium">
        <color rgb="FFD9D9D9"/>
      </right>
      <top style="hair">
        <color rgb="FFD9D9D9"/>
      </top>
      <bottom style="hair">
        <color rgb="FFD9D9D9"/>
      </bottom>
      <diagonal/>
    </border>
    <border>
      <left style="medium">
        <color rgb="FFD9D9D9"/>
      </left>
      <right style="hair">
        <color rgb="FFD9D9D9"/>
      </right>
      <top style="hair">
        <color rgb="FFD9D9D9"/>
      </top>
      <bottom style="medium">
        <color rgb="FFD9D9D9"/>
      </bottom>
      <diagonal/>
    </border>
    <border>
      <left style="hair">
        <color rgb="FFD9D9D9"/>
      </left>
      <right style="hair">
        <color rgb="FFD9D9D9"/>
      </right>
      <top style="hair">
        <color rgb="FFD9D9D9"/>
      </top>
      <bottom style="medium">
        <color rgb="FFD9D9D9"/>
      </bottom>
      <diagonal/>
    </border>
    <border>
      <left style="hair">
        <color rgb="FFD9D9D9"/>
      </left>
      <right style="medium">
        <color rgb="FFD9D9D9"/>
      </right>
      <top style="hair">
        <color rgb="FFD9D9D9"/>
      </top>
      <bottom style="medium">
        <color rgb="FFD9D9D9"/>
      </bottom>
      <diagonal/>
    </border>
    <border>
      <left style="hair">
        <color rgb="FFCCCCCC"/>
      </left>
      <right/>
      <top style="hair">
        <color rgb="FFCCCCCC"/>
      </top>
      <bottom style="dotted">
        <color rgb="FFD9D9D9"/>
      </bottom>
      <diagonal/>
    </border>
    <border>
      <left/>
      <right/>
      <top style="hair">
        <color rgb="FFCCCCCC"/>
      </top>
      <bottom style="dotted">
        <color rgb="FFD9D9D9"/>
      </bottom>
      <diagonal/>
    </border>
    <border>
      <left/>
      <right style="medium">
        <color rgb="FFD9D9D9"/>
      </right>
      <top style="hair">
        <color rgb="FFCCCCCC"/>
      </top>
      <bottom style="dotted">
        <color rgb="FFD9D9D9"/>
      </bottom>
      <diagonal/>
    </border>
    <border>
      <left style="medium">
        <color rgb="FFD9D9D9"/>
      </left>
      <right/>
      <top style="medium">
        <color rgb="FFD9D9D9"/>
      </top>
      <bottom style="dotted">
        <color rgb="FFD9D9D9"/>
      </bottom>
      <diagonal/>
    </border>
    <border>
      <left/>
      <right style="dotted">
        <color rgb="FFD9D9D9"/>
      </right>
      <top style="medium">
        <color rgb="FFD9D9D9"/>
      </top>
      <bottom style="dotted">
        <color rgb="FFD9D9D9"/>
      </bottom>
      <diagonal/>
    </border>
    <border>
      <left style="medium">
        <color rgb="FFD9D9D9"/>
      </left>
      <right/>
      <top style="dotted">
        <color rgb="FFD9D9D9"/>
      </top>
      <bottom style="dotted">
        <color rgb="FFD9D9D9"/>
      </bottom>
      <diagonal/>
    </border>
    <border>
      <left/>
      <right style="dotted">
        <color rgb="FFD9D9D9"/>
      </right>
      <top style="dotted">
        <color rgb="FFD9D9D9"/>
      </top>
      <bottom style="dotted">
        <color rgb="FFD9D9D9"/>
      </bottom>
      <diagonal/>
    </border>
    <border>
      <left style="medium">
        <color rgb="FFD9D9D9"/>
      </left>
      <right/>
      <top style="dotted">
        <color rgb="FFD9D9D9"/>
      </top>
      <bottom style="medium">
        <color rgb="FFD9D9D9"/>
      </bottom>
      <diagonal/>
    </border>
    <border>
      <left/>
      <right style="dotted">
        <color rgb="FFD9D9D9"/>
      </right>
      <top style="dotted">
        <color rgb="FFD9D9D9"/>
      </top>
      <bottom style="medium">
        <color rgb="FFD9D9D9"/>
      </bottom>
      <diagonal/>
    </border>
    <border>
      <left/>
      <right style="hair">
        <color rgb="FFCCCCCC"/>
      </right>
      <top/>
      <bottom style="medium">
        <color rgb="FFD9D9D9"/>
      </bottom>
      <diagonal/>
    </border>
  </borders>
  <cellStyleXfs count="1">
    <xf numFmtId="0" fontId="0" fillId="0" borderId="0"/>
  </cellStyleXfs>
  <cellXfs count="161">
    <xf numFmtId="0" fontId="0" fillId="0" borderId="0" xfId="0"/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5" borderId="9" xfId="0" applyFont="1" applyFill="1" applyBorder="1"/>
    <xf numFmtId="0" fontId="2" fillId="0" borderId="5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3" fillId="8" borderId="4" xfId="0" applyFont="1" applyFill="1" applyBorder="1"/>
    <xf numFmtId="0" fontId="2" fillId="8" borderId="14" xfId="0" applyFont="1" applyFill="1" applyBorder="1" applyAlignment="1">
      <alignment horizontal="center" vertical="center"/>
    </xf>
    <xf numFmtId="166" fontId="1" fillId="11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4" fontId="1" fillId="11" borderId="0" xfId="0" applyNumberFormat="1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center" vertical="center"/>
    </xf>
    <xf numFmtId="0" fontId="10" fillId="14" borderId="4" xfId="0" applyFont="1" applyFill="1" applyBorder="1" applyAlignment="1">
      <alignment horizontal="center" vertical="center"/>
    </xf>
    <xf numFmtId="0" fontId="10" fillId="14" borderId="14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8" borderId="14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/>
    </xf>
    <xf numFmtId="0" fontId="12" fillId="16" borderId="14" xfId="0" applyFont="1" applyFill="1" applyBorder="1" applyAlignment="1">
      <alignment horizontal="center" vertical="center"/>
    </xf>
    <xf numFmtId="166" fontId="14" fillId="14" borderId="4" xfId="0" applyNumberFormat="1" applyFont="1" applyFill="1" applyBorder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0" fontId="15" fillId="7" borderId="0" xfId="0" applyFont="1" applyFill="1"/>
    <xf numFmtId="0" fontId="13" fillId="8" borderId="14" xfId="0" applyFont="1" applyFill="1" applyBorder="1" applyAlignment="1">
      <alignment horizontal="center" vertical="center"/>
    </xf>
    <xf numFmtId="0" fontId="13" fillId="5" borderId="14" xfId="0" applyFont="1" applyFill="1" applyBorder="1" applyAlignment="1">
      <alignment horizontal="center" vertical="center"/>
    </xf>
    <xf numFmtId="0" fontId="12" fillId="9" borderId="5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center" vertical="center"/>
    </xf>
    <xf numFmtId="0" fontId="10" fillId="16" borderId="14" xfId="0" applyFont="1" applyFill="1" applyBorder="1" applyAlignment="1">
      <alignment horizontal="center" vertical="center"/>
    </xf>
    <xf numFmtId="0" fontId="10" fillId="16" borderId="5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9" borderId="14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64" fontId="2" fillId="0" borderId="26" xfId="0" applyNumberFormat="1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164" fontId="19" fillId="0" borderId="28" xfId="0" applyNumberFormat="1" applyFont="1" applyBorder="1" applyAlignment="1">
      <alignment horizontal="center" vertical="center"/>
    </xf>
    <xf numFmtId="164" fontId="20" fillId="0" borderId="27" xfId="0" applyNumberFormat="1" applyFont="1" applyBorder="1" applyAlignment="1">
      <alignment horizontal="center" vertical="center"/>
    </xf>
    <xf numFmtId="164" fontId="20" fillId="0" borderId="28" xfId="0" applyNumberFormat="1" applyFont="1" applyBorder="1" applyAlignment="1">
      <alignment horizontal="center" vertical="center"/>
    </xf>
    <xf numFmtId="164" fontId="21" fillId="0" borderId="27" xfId="0" applyNumberFormat="1" applyFont="1" applyBorder="1" applyAlignment="1">
      <alignment horizontal="center" vertical="center"/>
    </xf>
    <xf numFmtId="164" fontId="21" fillId="0" borderId="28" xfId="0" applyNumberFormat="1" applyFont="1" applyBorder="1" applyAlignment="1">
      <alignment horizontal="center" vertical="center"/>
    </xf>
    <xf numFmtId="164" fontId="22" fillId="0" borderId="27" xfId="0" applyNumberFormat="1" applyFont="1" applyBorder="1" applyAlignment="1">
      <alignment horizontal="center" vertical="center"/>
    </xf>
    <xf numFmtId="164" fontId="2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19" fillId="0" borderId="30" xfId="0" applyNumberFormat="1" applyFont="1" applyBorder="1" applyAlignment="1">
      <alignment horizontal="center" vertical="center"/>
    </xf>
    <xf numFmtId="164" fontId="19" fillId="0" borderId="31" xfId="0" applyNumberFormat="1" applyFont="1" applyBorder="1" applyAlignment="1">
      <alignment horizontal="center" vertical="center"/>
    </xf>
    <xf numFmtId="164" fontId="20" fillId="0" borderId="30" xfId="0" applyNumberFormat="1" applyFont="1" applyBorder="1" applyAlignment="1">
      <alignment horizontal="center" vertical="center"/>
    </xf>
    <xf numFmtId="164" fontId="20" fillId="0" borderId="31" xfId="0" applyNumberFormat="1" applyFont="1" applyBorder="1" applyAlignment="1">
      <alignment horizontal="center" vertical="center"/>
    </xf>
    <xf numFmtId="164" fontId="21" fillId="0" borderId="30" xfId="0" applyNumberFormat="1" applyFont="1" applyBorder="1" applyAlignment="1">
      <alignment horizontal="center" vertical="center"/>
    </xf>
    <xf numFmtId="164" fontId="21" fillId="0" borderId="31" xfId="0" applyNumberFormat="1" applyFont="1" applyBorder="1" applyAlignment="1">
      <alignment horizontal="center" vertical="center"/>
    </xf>
    <xf numFmtId="164" fontId="22" fillId="0" borderId="30" xfId="0" applyNumberFormat="1" applyFont="1" applyBorder="1" applyAlignment="1">
      <alignment horizontal="center" vertical="center"/>
    </xf>
    <xf numFmtId="164" fontId="22" fillId="0" borderId="31" xfId="0" applyNumberFormat="1" applyFont="1" applyBorder="1" applyAlignment="1">
      <alignment horizontal="center" vertical="center"/>
    </xf>
    <xf numFmtId="164" fontId="2" fillId="0" borderId="32" xfId="0" applyNumberFormat="1" applyFont="1" applyBorder="1" applyAlignment="1">
      <alignment horizontal="center" vertical="center"/>
    </xf>
    <xf numFmtId="164" fontId="2" fillId="0" borderId="33" xfId="0" applyNumberFormat="1" applyFont="1" applyBorder="1" applyAlignment="1">
      <alignment horizontal="center" vertical="center"/>
    </xf>
    <xf numFmtId="164" fontId="19" fillId="0" borderId="33" xfId="0" applyNumberFormat="1" applyFont="1" applyBorder="1" applyAlignment="1">
      <alignment horizontal="center" vertical="center"/>
    </xf>
    <xf numFmtId="164" fontId="19" fillId="0" borderId="34" xfId="0" applyNumberFormat="1" applyFont="1" applyBorder="1" applyAlignment="1">
      <alignment horizontal="center" vertical="center"/>
    </xf>
    <xf numFmtId="164" fontId="20" fillId="0" borderId="33" xfId="0" applyNumberFormat="1" applyFont="1" applyBorder="1" applyAlignment="1">
      <alignment horizontal="center" vertical="center"/>
    </xf>
    <xf numFmtId="164" fontId="20" fillId="0" borderId="34" xfId="0" applyNumberFormat="1" applyFont="1" applyBorder="1" applyAlignment="1">
      <alignment horizontal="center" vertical="center"/>
    </xf>
    <xf numFmtId="164" fontId="21" fillId="0" borderId="33" xfId="0" applyNumberFormat="1" applyFont="1" applyBorder="1" applyAlignment="1">
      <alignment horizontal="center" vertical="center"/>
    </xf>
    <xf numFmtId="164" fontId="21" fillId="0" borderId="34" xfId="0" applyNumberFormat="1" applyFont="1" applyBorder="1" applyAlignment="1">
      <alignment horizontal="center" vertical="center"/>
    </xf>
    <xf numFmtId="164" fontId="22" fillId="0" borderId="33" xfId="0" applyNumberFormat="1" applyFont="1" applyBorder="1" applyAlignment="1">
      <alignment horizontal="center" vertical="center"/>
    </xf>
    <xf numFmtId="164" fontId="22" fillId="0" borderId="34" xfId="0" applyNumberFormat="1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3" fontId="1" fillId="11" borderId="0" xfId="0" applyNumberFormat="1" applyFont="1" applyFill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10" fillId="15" borderId="14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23" fillId="0" borderId="27" xfId="0" applyNumberFormat="1" applyFont="1" applyBorder="1" applyAlignment="1">
      <alignment horizontal="center" vertical="center"/>
    </xf>
    <xf numFmtId="164" fontId="23" fillId="0" borderId="28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center" vertical="center"/>
    </xf>
    <xf numFmtId="164" fontId="23" fillId="0" borderId="31" xfId="0" applyNumberFormat="1" applyFont="1" applyBorder="1" applyAlignment="1">
      <alignment horizontal="center" vertical="center"/>
    </xf>
    <xf numFmtId="164" fontId="23" fillId="0" borderId="33" xfId="0" applyNumberFormat="1" applyFont="1" applyBorder="1" applyAlignment="1">
      <alignment horizontal="center" vertical="center"/>
    </xf>
    <xf numFmtId="164" fontId="23" fillId="0" borderId="34" xfId="0" applyNumberFormat="1" applyFont="1" applyBorder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8" borderId="4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2" fillId="11" borderId="11" xfId="0" applyFont="1" applyFill="1" applyBorder="1" applyAlignment="1">
      <alignment horizontal="center" vertical="center"/>
    </xf>
    <xf numFmtId="0" fontId="6" fillId="0" borderId="22" xfId="0" applyFont="1" applyBorder="1"/>
    <xf numFmtId="0" fontId="2" fillId="11" borderId="12" xfId="0" applyFont="1" applyFill="1" applyBorder="1" applyAlignment="1">
      <alignment horizontal="center" vertical="center"/>
    </xf>
    <xf numFmtId="0" fontId="6" fillId="0" borderId="11" xfId="0" applyFont="1" applyBorder="1"/>
    <xf numFmtId="0" fontId="6" fillId="0" borderId="13" xfId="0" applyFont="1" applyBorder="1"/>
    <xf numFmtId="165" fontId="2" fillId="10" borderId="23" xfId="0" applyNumberFormat="1" applyFont="1" applyFill="1" applyBorder="1" applyAlignment="1">
      <alignment horizontal="center" vertical="center"/>
    </xf>
    <xf numFmtId="0" fontId="6" fillId="0" borderId="24" xfId="0" applyFont="1" applyBorder="1"/>
    <xf numFmtId="0" fontId="2" fillId="10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5" fillId="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0" fillId="0" borderId="0" xfId="0"/>
    <xf numFmtId="0" fontId="5" fillId="13" borderId="1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/>
    </xf>
    <xf numFmtId="0" fontId="6" fillId="0" borderId="5" xfId="0" applyFont="1" applyBorder="1"/>
    <xf numFmtId="0" fontId="6" fillId="0" borderId="14" xfId="0" applyFont="1" applyBorder="1"/>
    <xf numFmtId="0" fontId="2" fillId="3" borderId="4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10" borderId="17" xfId="0" applyFont="1" applyFill="1" applyBorder="1" applyAlignment="1">
      <alignment horizontal="center" vertical="center"/>
    </xf>
    <xf numFmtId="0" fontId="6" fillId="0" borderId="21" xfId="0" applyFont="1" applyBorder="1"/>
    <xf numFmtId="0" fontId="2" fillId="10" borderId="18" xfId="0" applyFont="1" applyFill="1" applyBorder="1" applyAlignment="1">
      <alignment horizontal="center" vertical="center"/>
    </xf>
    <xf numFmtId="0" fontId="6" fillId="0" borderId="20" xfId="0" applyFont="1" applyBorder="1"/>
    <xf numFmtId="0" fontId="2" fillId="6" borderId="10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6" fillId="0" borderId="16" xfId="0" applyFont="1" applyBorder="1"/>
    <xf numFmtId="165" fontId="2" fillId="10" borderId="10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167" fontId="1" fillId="11" borderId="0" xfId="0" applyNumberFormat="1" applyFont="1" applyFill="1" applyAlignment="1">
      <alignment horizontal="center" vertical="center"/>
    </xf>
    <xf numFmtId="166" fontId="2" fillId="11" borderId="11" xfId="0" applyNumberFormat="1" applyFont="1" applyFill="1" applyBorder="1" applyAlignment="1">
      <alignment horizontal="center" vertical="center"/>
    </xf>
    <xf numFmtId="0" fontId="2" fillId="10" borderId="40" xfId="0" applyFont="1" applyFill="1" applyBorder="1" applyAlignment="1">
      <alignment horizontal="center" vertical="center"/>
    </xf>
    <xf numFmtId="0" fontId="6" fillId="0" borderId="41" xfId="0" applyFont="1" applyBorder="1"/>
    <xf numFmtId="0" fontId="2" fillId="10" borderId="11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6" fillId="0" borderId="44" xfId="0" applyFont="1" applyBorder="1"/>
    <xf numFmtId="166" fontId="2" fillId="0" borderId="25" xfId="0" applyNumberFormat="1" applyFont="1" applyBorder="1" applyAlignment="1">
      <alignment horizontal="center"/>
    </xf>
    <xf numFmtId="0" fontId="2" fillId="11" borderId="25" xfId="0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 wrapText="1"/>
    </xf>
    <xf numFmtId="0" fontId="2" fillId="7" borderId="35" xfId="0" applyFont="1" applyFill="1" applyBorder="1" applyAlignment="1">
      <alignment horizontal="center" vertical="center"/>
    </xf>
    <xf numFmtId="0" fontId="6" fillId="0" borderId="36" xfId="0" applyFont="1" applyBorder="1"/>
    <xf numFmtId="0" fontId="6" fillId="0" borderId="37" xfId="0" applyFont="1" applyBorder="1"/>
    <xf numFmtId="0" fontId="2" fillId="7" borderId="25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2" fillId="10" borderId="38" xfId="0" applyFont="1" applyFill="1" applyBorder="1" applyAlignment="1">
      <alignment horizontal="center" vertical="center"/>
    </xf>
    <xf numFmtId="0" fontId="6" fillId="0" borderId="39" xfId="0" applyFont="1" applyBorder="1"/>
    <xf numFmtId="0" fontId="2" fillId="10" borderId="21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/>
    </xf>
    <xf numFmtId="166" fontId="2" fillId="11" borderId="12" xfId="0" applyNumberFormat="1" applyFont="1" applyFill="1" applyBorder="1" applyAlignment="1">
      <alignment horizontal="center" vertical="center"/>
    </xf>
    <xf numFmtId="165" fontId="2" fillId="10" borderId="15" xfId="0" applyNumberFormat="1" applyFont="1" applyFill="1" applyBorder="1" applyAlignment="1">
      <alignment horizontal="center"/>
    </xf>
    <xf numFmtId="0" fontId="2" fillId="10" borderId="42" xfId="0" applyFont="1" applyFill="1" applyBorder="1" applyAlignment="1">
      <alignment horizontal="center" vertical="center"/>
    </xf>
    <xf numFmtId="0" fontId="6" fillId="0" borderId="43" xfId="0" applyFont="1" applyBorder="1"/>
    <xf numFmtId="0" fontId="2" fillId="10" borderId="7" xfId="0" applyFont="1" applyFill="1" applyBorder="1" applyAlignment="1">
      <alignment horizontal="center"/>
    </xf>
    <xf numFmtId="0" fontId="2" fillId="10" borderId="25" xfId="0" applyFont="1" applyFill="1" applyBorder="1" applyAlignment="1">
      <alignment horizontal="center"/>
    </xf>
  </cellXfs>
  <cellStyles count="1">
    <cellStyle name="Normal" xfId="0" builtinId="0"/>
  </cellStyles>
  <dxfs count="94"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F0D1E0"/>
          <bgColor rgb="FFF0D1E0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CFEB"/>
          <bgColor rgb="FFDCCFEB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0D1E0"/>
          <bgColor rgb="FFF0D1E0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DD5F7"/>
          <bgColor rgb="FFCDD5F7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CFEB"/>
          <bgColor rgb="FFDCCFEB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DD5F7"/>
          <bgColor rgb="FFCDD5F7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CDD5F7"/>
          <bgColor rgb="FFCDD5F7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F0D1E0"/>
          <bgColor rgb="FFF0D1E0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CFEB"/>
          <bgColor rgb="FFDCCFEB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FFFFFF"/>
          <bgColor rgb="FFFFFFFF"/>
        </patternFill>
      </fill>
    </dxf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solid">
          <fgColor theme="9"/>
          <bgColor theme="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0D1E0"/>
          <bgColor rgb="FFF0D1E0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CDD5F7"/>
          <bgColor rgb="FFCDD5F7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CCFEB"/>
          <bgColor rgb="FFDCCFEB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DD5F7"/>
          <bgColor rgb="FFCDD5F7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D9D9D9"/>
          <bgColor rgb="FFD9D9D9"/>
        </patternFill>
      </fill>
    </dxf>
    <dxf>
      <font>
        <color rgb="FFD9D9D9"/>
      </font>
      <fill>
        <patternFill patternType="none"/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F8D5BF"/>
          <bgColor rgb="FFF8D5BF"/>
        </patternFill>
      </fill>
    </dxf>
    <dxf>
      <fill>
        <patternFill patternType="solid">
          <fgColor rgb="FFCBE5ED"/>
          <bgColor rgb="FFCBE5ED"/>
        </patternFill>
      </fill>
    </dxf>
    <dxf>
      <fill>
        <patternFill patternType="solid">
          <fgColor rgb="FFCDD5F7"/>
          <bgColor rgb="FFCDD5F7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  <dxf>
      <font>
        <color rgb="FFFFFFFF"/>
      </font>
      <fill>
        <patternFill patternType="solid">
          <fgColor rgb="FF434343"/>
          <bgColor rgb="FF4343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3F3F3"/>
      </a:lt1>
      <a:dk2>
        <a:srgbClr val="000000"/>
      </a:dk2>
      <a:lt2>
        <a:srgbClr val="F3F3F3"/>
      </a:lt2>
      <a:accent1>
        <a:srgbClr val="CBE5ED"/>
      </a:accent1>
      <a:accent2>
        <a:srgbClr val="CDD5F7"/>
      </a:accent2>
      <a:accent3>
        <a:srgbClr val="DCCFEB"/>
      </a:accent3>
      <a:accent4>
        <a:srgbClr val="F0D1E0"/>
      </a:accent4>
      <a:accent5>
        <a:srgbClr val="F8D5BF"/>
      </a:accent5>
      <a:accent6>
        <a:srgbClr val="FFFFFF"/>
      </a:accent6>
      <a:hlink>
        <a:srgbClr val="434343"/>
      </a:hlink>
      <a:folHlink>
        <a:srgbClr val="43434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X67"/>
  <sheetViews>
    <sheetView showGridLines="0" tabSelected="1" topLeftCell="A5" workbookViewId="0">
      <selection activeCell="L19" sqref="L19"/>
    </sheetView>
  </sheetViews>
  <sheetFormatPr baseColWidth="10" defaultColWidth="12.6328125" defaultRowHeight="15.75" customHeight="1"/>
  <cols>
    <col min="1" max="1" width="3.453125" customWidth="1"/>
    <col min="2" max="8" width="3.36328125" customWidth="1"/>
    <col min="9" max="10" width="3.36328125" hidden="1" customWidth="1"/>
    <col min="11" max="14" width="8" customWidth="1"/>
    <col min="15" max="16" width="3.453125" hidden="1" customWidth="1"/>
    <col min="17" max="17" width="3.453125" customWidth="1"/>
    <col min="18" max="24" width="3.6328125" customWidth="1"/>
    <col min="25" max="25" width="3.7265625" customWidth="1"/>
    <col min="26" max="32" width="3.6328125" customWidth="1"/>
    <col min="33" max="33" width="3.7265625" customWidth="1"/>
    <col min="34" max="40" width="3.6328125" customWidth="1"/>
    <col min="41" max="41" width="3.7265625" customWidth="1"/>
    <col min="42" max="48" width="3.6328125" customWidth="1"/>
    <col min="49" max="49" width="3.453125" hidden="1" customWidth="1"/>
    <col min="50" max="50" width="3.453125" customWidth="1"/>
  </cols>
  <sheetData>
    <row r="1" spans="1:50" ht="18" hidden="1" customHeight="1">
      <c r="A1" s="1" t="e">
        <f ca="1">K9</f>
        <v>#NAME?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5"/>
      <c r="AX1" s="3"/>
    </row>
    <row r="2" spans="1:50" ht="18" hidden="1" customHeight="1">
      <c r="A2" s="3" t="e">
        <f>#REF!</f>
        <v>#REF!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3"/>
    </row>
    <row r="3" spans="1:50" ht="18" hidden="1" customHeight="1">
      <c r="A3" s="3" t="e">
        <f>#REF!</f>
        <v>#REF!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  <c r="AX3" s="3"/>
    </row>
    <row r="4" spans="1:50" ht="18" hidden="1" customHeight="1">
      <c r="A4" s="3" t="e">
        <f>#REF!</f>
        <v>#REF!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  <c r="AX4" s="3"/>
    </row>
    <row r="5" spans="1:50" ht="18" customHeight="1">
      <c r="A5" s="3" t="e">
        <f>#REF!</f>
        <v>#REF!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3"/>
    </row>
    <row r="6" spans="1:50" ht="18" customHeight="1">
      <c r="A6" s="3" t="e">
        <f>#REF!</f>
        <v>#REF!</v>
      </c>
      <c r="B6" s="115" t="s">
        <v>0</v>
      </c>
      <c r="C6" s="108"/>
      <c r="D6" s="108"/>
      <c r="E6" s="108"/>
      <c r="F6" s="108"/>
      <c r="G6" s="108"/>
      <c r="H6" s="109"/>
      <c r="I6" s="2"/>
      <c r="J6" s="2"/>
      <c r="K6" s="2"/>
      <c r="L6" s="2"/>
      <c r="M6" s="122" t="s">
        <v>1</v>
      </c>
      <c r="N6" s="120"/>
      <c r="O6" s="3"/>
      <c r="P6" s="5"/>
      <c r="Q6" s="3"/>
      <c r="R6" s="107" t="s">
        <v>2</v>
      </c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9"/>
      <c r="AW6" s="5"/>
      <c r="AX6" s="3"/>
    </row>
    <row r="7" spans="1:50" ht="18" customHeight="1">
      <c r="A7" s="3" t="e">
        <f>#REF!</f>
        <v>#REF!</v>
      </c>
      <c r="B7" s="110"/>
      <c r="C7" s="111"/>
      <c r="D7" s="111"/>
      <c r="E7" s="111"/>
      <c r="F7" s="111"/>
      <c r="G7" s="111"/>
      <c r="H7" s="112"/>
      <c r="I7" s="2"/>
      <c r="J7" s="2"/>
      <c r="K7" s="2"/>
      <c r="L7" s="2"/>
      <c r="M7" s="6" t="s">
        <v>24</v>
      </c>
      <c r="N7" s="7">
        <v>1</v>
      </c>
      <c r="O7" s="82"/>
      <c r="P7" s="5"/>
      <c r="Q7" s="3"/>
      <c r="R7" s="110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2"/>
      <c r="AW7" s="5"/>
      <c r="AX7" s="3"/>
    </row>
    <row r="8" spans="1:50" ht="18" customHeight="1">
      <c r="A8" s="3" t="e">
        <f>#REF!</f>
        <v>#REF!</v>
      </c>
      <c r="B8" s="128" t="s">
        <v>4</v>
      </c>
      <c r="C8" s="101"/>
      <c r="D8" s="101"/>
      <c r="E8" s="123" t="s">
        <v>25</v>
      </c>
      <c r="F8" s="101"/>
      <c r="G8" s="101"/>
      <c r="H8" s="102"/>
      <c r="I8" s="2"/>
      <c r="J8" s="2"/>
      <c r="K8" s="2"/>
      <c r="L8" s="2"/>
      <c r="M8" s="6" t="s">
        <v>5</v>
      </c>
      <c r="N8" s="8" t="s">
        <v>6</v>
      </c>
      <c r="O8" s="82"/>
      <c r="P8" s="5"/>
      <c r="Q8" s="3"/>
      <c r="R8" s="9"/>
      <c r="S8" s="10"/>
      <c r="T8" s="10"/>
      <c r="U8" s="148" t="s">
        <v>7</v>
      </c>
      <c r="V8" s="121"/>
      <c r="W8" s="143" t="s">
        <v>3</v>
      </c>
      <c r="X8" s="121"/>
      <c r="Y8" s="143" t="s">
        <v>8</v>
      </c>
      <c r="Z8" s="120"/>
      <c r="AA8" s="150" t="s">
        <v>9</v>
      </c>
      <c r="AB8" s="121"/>
      <c r="AC8" s="142" t="s">
        <v>10</v>
      </c>
      <c r="AD8" s="121"/>
      <c r="AE8" s="142" t="s">
        <v>11</v>
      </c>
      <c r="AF8" s="120"/>
      <c r="AG8" s="143" t="s">
        <v>26</v>
      </c>
      <c r="AH8" s="121"/>
      <c r="AI8" s="143" t="s">
        <v>27</v>
      </c>
      <c r="AJ8" s="121"/>
      <c r="AK8" s="149" t="s">
        <v>28</v>
      </c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0"/>
      <c r="AW8" s="5"/>
      <c r="AX8" s="3"/>
    </row>
    <row r="9" spans="1:50" ht="18" customHeight="1">
      <c r="A9" s="3" t="e">
        <f>#REF!</f>
        <v>#REF!</v>
      </c>
      <c r="B9" s="128" t="s">
        <v>12</v>
      </c>
      <c r="C9" s="101"/>
      <c r="D9" s="101"/>
      <c r="E9" s="144">
        <v>2026</v>
      </c>
      <c r="F9" s="145"/>
      <c r="G9" s="145"/>
      <c r="H9" s="146"/>
      <c r="I9" s="2"/>
      <c r="J9" s="2"/>
      <c r="K9" s="14" t="e">
        <f ca="1">DATE(E9,B11,1)</f>
        <v>#NAME?</v>
      </c>
      <c r="L9" s="2"/>
      <c r="M9" s="6" t="s">
        <v>13</v>
      </c>
      <c r="N9" s="8" t="s">
        <v>14</v>
      </c>
      <c r="O9" s="82"/>
      <c r="P9" s="5"/>
      <c r="Q9" s="94"/>
      <c r="R9" s="131" t="e">
        <f ca="1">K9</f>
        <v>#NAME?</v>
      </c>
      <c r="S9" s="101"/>
      <c r="T9" s="101"/>
      <c r="U9" s="151" t="e">
        <f t="shared" ref="U9:U20" ca="1" si="0">NETWORKDAYS(R9,R10)-1-AC9-AA9-AE9</f>
        <v>#NAME?</v>
      </c>
      <c r="V9" s="152"/>
      <c r="W9" s="153" t="e">
        <f ca="1">COUNTIF(D14:H17,"&gt;0")
+IF(AND(MONTH(R27)=testData!month_1,ISNUMBER(D13)),D13,0)+IF(AND(MONTH(S27)=testData!month_1,ISNUMBER(E13)),E13,0)+IF(AND(MONTH(T27)=testData!month_1,ISNUMBER(F13)),F13,0)+IF(AND(MONTH(U27)=testData!month_1,ISNUMBER(G13)),G13,0)+IF(AND(MONTH(V27)=testData!month_1,ISNUMBER(H13)),H13,0)
+IF(AND(MONTH(R32)=testData!month_1,ISNUMBER(D18)),D18,0)+IF(AND(MONTH(S32)=testData!month_1,ISNUMBER(E18)),E18,0)+IF(AND(MONTH(T32)=testData!month_1,ISNUMBER(F18)),F18,0)+IF(AND(MONTH(U32)=testData!month_1,ISNUMBER(G18)),G18,0)+IF(AND(MONTH(V32)=testData!month_1,ISNUMBER(H18)),H18,0)</f>
        <v>#NAME?</v>
      </c>
      <c r="X9" s="132"/>
      <c r="Y9" s="126" t="e">
        <f t="shared" ref="Y9:Y20" ca="1" si="1">U9-W9</f>
        <v>#NAME?</v>
      </c>
      <c r="Z9" s="127"/>
      <c r="AA9" s="124" t="e">
        <f ca="1">COUNTIF(D14:H17,"="&amp;TEXT(testData!VacationDay,0))
+IF(AND(MONTH(R27)=testData!month_1, D13=testData!VacationDay),1,0)+IF(AND(MONTH(S27)=testData!month_1, E13=testData!VacationDay),1,0)+IF(AND(MONTH(T27)=testData!month_1, F13=testData!VacationDay),1,0)+IF(AND(MONTH(U27)=testData!month_1, G13=testData!VacationDay),1,0)+IF(AND(MONTH(V27)=testData!month_1, H13=testData!VacationDay),1,0)
+IF(AND(MONTH(R32)=testData!month_1, D18=testData!VacationDay),1,0)+IF(AND(MONTH(S32)=testData!month_1, E18=testData!VacationDay),1,0)+IF(AND(MONTH(T32)=testData!month_1, F18=testData!VacationDay),1,0)+IF(AND(MONTH(U32)=testData!month_1, G18=testData!VacationDay),1,0)+IF(AND(MONTH(V32)=testData!month_1, H18=testData!VacationDay),1,0)</f>
        <v>#NAME?</v>
      </c>
      <c r="AB9" s="125"/>
      <c r="AC9" s="126" t="e">
        <f ca="1">COUNTIF(D14:H17,"="&amp;TEXT(testData!HolidayDay,0))
+IF(AND(MONTH(R27)=testData!month_1, D13=testData!HolidayDay),1,0)+IF(AND(MONTH(S27)=testData!month_1, E13=testData!HolidayDay),1,0)+IF(AND(MONTH(T27)=testData!month_1, F13=testData!HolidayDay),1,0)+IF(AND(MONTH(U27)=testData!month_1, G13=testData!HolidayDay),1,0)+IF(AND(MONTH(V27)=testData!month_1, H13=testData!HolidayDay),1,0)
+IF(AND(MONTH(R32)=testData!month_1, D18=testData!HolidayDay),1,0)+IF(AND(MONTH(S32)=testData!month_1, E18=testData!HolidayDay),1,0)+IF(AND(MONTH(T32)=testData!month_1, F18=testData!HolidayDay),1,0)+IF(AND(MONTH(U32)=testData!month_1, G18=testData!HolidayDay),1,0)+IF(AND(MONTH(V32)=testData!month_1, H18=testData!HolidayDay),1,0)</f>
        <v>#NAME?</v>
      </c>
      <c r="AD9" s="125"/>
      <c r="AE9" s="126" t="e">
        <f ca="1">COUNTIF(D14:H17,"="&amp;TEXT(testData!OnCallOffDay,0))
+IF(AND(MONTH(R27)=testData!month_1, D13=testData!OnCallOffDay),1,0)+IF(AND(MONTH(S27)=testData!month_1, E13=testData!OnCallOffDay),1,0)+IF(AND(MONTH(T27)=testData!month_1, F13=testData!OnCallOffDay),1,0)+IF(AND(MONTH(U27)=testData!month_1, G13=testData!OnCallOffDay),1,0)+IF(AND(MONTH(V27)=testData!month_1, H13=testData!OnCallOffDay),1,0)
+IF(AND(MONTH(R32)=testData!month_1, D18=testData!OnCallOffDay),1,0)+IF(AND(MONTH(S32)=testData!month_1, E18=testData!OnCallOffDay),1,0)+IF(AND(MONTH(T32)=testData!month_1, F18=testData!OnCallOffDay),1,0)+IF(AND(MONTH(U32)=testData!month_1, G18=testData!OnCallOffDay),1,0)+IF(AND(MONTH(V32)=testData!month_1, H18=testData!OnCallOffDay),1,0)</f>
        <v>#NAME?</v>
      </c>
      <c r="AF9" s="127"/>
      <c r="AG9" s="98" t="e">
        <f t="shared" ref="AG9:AG20" ca="1" si="2">ROUNDUP(($E$10*20)*U9/100,0)</f>
        <v>#NAME?</v>
      </c>
      <c r="AH9" s="99"/>
      <c r="AI9" s="134" t="e">
        <f t="shared" ref="AI9:AI20" ca="1" si="3">W9*5/U9</f>
        <v>#NAME?</v>
      </c>
      <c r="AJ9" s="99"/>
      <c r="AK9" s="100" t="str">
        <f ca="1">IFERROR(__xludf.DUMMYFUNCTION("if(AW9="""","""",IFERROR(SPARKLINE(AW9:AX9,{""charttype"",""bar"";""max"",1;""min"",0;""color1"",""#cbe5ed"";""color2"",""#f3f3f3""}),))"),"")</f>
        <v/>
      </c>
      <c r="AL9" s="101"/>
      <c r="AM9" s="101"/>
      <c r="AN9" s="101"/>
      <c r="AO9" s="101"/>
      <c r="AP9" s="101"/>
      <c r="AQ9" s="101"/>
      <c r="AR9" s="101"/>
      <c r="AS9" s="101"/>
      <c r="AT9" s="101"/>
      <c r="AU9" s="98" t="e">
        <f t="shared" ref="AU9:AU20" ca="1" si="4">IF(AG9="","", W9&amp;" / "&amp;AG9)</f>
        <v>#NAME?</v>
      </c>
      <c r="AV9" s="102"/>
      <c r="AW9" s="11" t="e">
        <f t="shared" ref="AW9:AW20" ca="1" si="5">IF(AG9="","",W9/AG9)</f>
        <v>#NAME?</v>
      </c>
      <c r="AX9" s="12" t="e">
        <f t="shared" ref="AX9:AX20" ca="1" si="6">1-AW9</f>
        <v>#NAME?</v>
      </c>
    </row>
    <row r="10" spans="1:50" ht="18" customHeight="1">
      <c r="A10" s="3" t="e">
        <f>#REF!</f>
        <v>#REF!</v>
      </c>
      <c r="B10" s="129" t="s">
        <v>29</v>
      </c>
      <c r="C10" s="130"/>
      <c r="D10" s="130"/>
      <c r="E10" s="147">
        <v>3</v>
      </c>
      <c r="F10" s="111"/>
      <c r="G10" s="111"/>
      <c r="H10" s="112"/>
      <c r="M10" s="6" t="s">
        <v>11</v>
      </c>
      <c r="N10" s="8" t="s">
        <v>15</v>
      </c>
      <c r="O10" s="82"/>
      <c r="P10" s="5"/>
      <c r="Q10" s="94"/>
      <c r="R10" s="103" t="e">
        <f t="shared" ref="R10:R21" ca="1" si="7">EOMONTH(R9,0)+1</f>
        <v>#NAME?</v>
      </c>
      <c r="S10" s="104"/>
      <c r="T10" s="104"/>
      <c r="U10" s="135" t="e">
        <f t="shared" ca="1" si="0"/>
        <v>#NAME?</v>
      </c>
      <c r="V10" s="136"/>
      <c r="W10" s="137" t="e">
        <f ca="1">IF(testData!WW_first_2=C18, COUNTIF(D19:H22,"&gt;0"),IF(testData!WW_first_2=C19, COUNTIF(D20:H23,"&gt;0"), COUNTIF(D18:H21,"&gt;0")))
+ IF(testData!WW_first_2=C18,
IF(AND(MONTH(Z27)=testData!month_2, ISNUMBER(D18)),D18,0)+IF(AND(MONTH(AA27)=testData!month_2, ISNUMBER(E18)),E18,0)+IF(AND(MONTH(AB27)=testData!month_2, ISNUMBER(F18)),F18,0)+IF(AND(MONTH(AC27)=testData!month_2, ISNUMBER(G18)),G18,0)+IF(AND(MONTH(AD27)=testData!month_2, ISNUMBER(H18)),H18,0)
+IF(AND(MONTH(Z32)=testData!month_2, ISNUMBER(D23)),D23,0)+IF(AND(MONTH(AA32)=testData!month_2, ISNUMBER(E23)),E23,0)+IF(AND(MONTH(AB32)=testData!month_2, ISNUMBER(E23)),E23,0)+IF(AND(MONTH(AC32)=testData!month_2, ISNUMBER(G23)),G23,0)+IF(AND(MONTH(AD32)=testData!month_2, ISNUMBER(H23)),H23,0),
IF(testData!WW_first_2=C19, IF(AND(MONTH(Z27)=testData!month_2, ISNUMBER(D19)),D19,0)+IF(AND(MONTH(AA27)=testData!month_2, ISNUMBER(E19)),E19,0)+IF(AND(MONTH(AB27)=testData!month_2, ISNUMBER(F19)),F19,0)+IF(AND(MONTH(AC27)=testData!month_2, ISNUMBER(G19)),G19,0)+IF(AND(MONTH(AD27)=testData!month_2, ISNUMBER(H19)),H19,0)
+IF(AND(MONTH(Z32)=testData!month_2, ISNUMBER(D24)),D24,0)+IF(AND(MONTH(AA32)=testData!month_2, ISNUMBER(E24)),E24,0)+IF(AND(MONTH(AB32)=testData!month_2, ISNUMBER(F24)),F24,0)+IF(AND(MONTH(AC32)=testData!month_2, ISNUMBER(G24)),G24,0)+IF(AND(MONTH(AD32)=testData!month_2, ISNUMBER(H24)),H24,0),
IF(AND(MONTH(Z27)=testData!month_2, ISNUMBER(D17)),D17,0)+IF(AND(MONTH(AA27)=testData!month_2, ISNUMBER(E17)),E17,0)+IF(AND(MONTH(AB27)=testData!month_2, ISNUMBER(F17)),F17,0)+IF(AND(MONTH(AC27)=testData!month_2, ISNUMBER(G17)),G17,0)+IF(AND(MONTH(AD27)=testData!month_2, ISNUMBER(H17)),H17,0)
+IF(AND(MONTH(Z32)=testData!month_2, ISNUMBER(D22)),D22,0)+IF(AND(MONTH(AA32)=testData!month_2, ISNUMBER(E22)),E22,0)+IF(AND(MONTH(AB32)=testData!month_2, ISNUMBER(F22)),F22,0)+IF(AND(MONTH(AC32)=testData!month_2, ISNUMBER(G22)),G22,0)+IF(AND(MONTH(AD32)=testData!month_2, ISNUMBER(H22)),H22,0)))</f>
        <v>#NAME?</v>
      </c>
      <c r="X10" s="99"/>
      <c r="Y10" s="106" t="e">
        <f t="shared" ca="1" si="1"/>
        <v>#NAME?</v>
      </c>
      <c r="Z10" s="102"/>
      <c r="AA10" s="105" t="e">
        <f ca="1">IF(testData!WW_first_2=C18, COUNTIF(D19:H22,"="&amp;TEXT(testData!VacationDay,0)),IF(testData!WW_first_2=C19, COUNTIF(D20:H23,"="&amp;TEXT(testData!VacationDay,0)), COUNTIF(D18:H21,"="&amp;TEXT(testData!VacationDay,0))))
+ IF(testData!WW_first_2=C18,
IF(AND(MONTH(Z27)=testData!month_2, D18=testData!VacationDay),1,0)+IF(AND(MONTH(AA27)=testData!month_2, E18=testData!VacationDay),1,0)+IF(AND(MONTH(AB27)=testData!month_2, F18=testData!VacationDay),1,0)+IF(AND(MONTH(AC27)=testData!month_2, G18=testData!VacationDay),1,0)+IF(AND(MONTH(AD27)=testData!month_2, H18=testData!VacationDay),1,0)
+IF(AND(MONTH(Z32)=testData!month_2, D23=testData!VacationDay),1,0)+IF(AND(MONTH(AA32)=testData!month_2, E23=testData!VacationDay),1,0)+IF(AND(MONTH(AB32)=testData!month_2, E23=testData!VacationDay),1,0)+IF(AND(MONTH(AC32)=testData!month_2, G23=testData!VacationDay),1,0)+IF(AND(MONTH(AD32)=testData!month_2, H23=testData!VacationDay),1,0),
IF(testData!WW_first_2=C19, IF(AND(MONTH(Z27)=testData!month_2, D19=testData!VacationDay),1,0)+IF(AND(MONTH(AA27)=testData!month_2, E19=testData!VacationDay),1,0)+IF(AND(MONTH(AB27)=testData!month_2, F19=testData!VacationDay),1,0)+IF(AND(MONTH(AC27)=testData!month_2, G19=testData!VacationDay),1,0)+IF(AND(MONTH(AD27)=testData!month_2, H19=testData!VacationDay),1,0)
+IF(AND(MONTH(Z32)=testData!month_2, D24=testData!VacationDay),1,0)+IF(AND(MONTH(AA32)=testData!month_2, E24=testData!VacationDay),1,0)+IF(AND(MONTH(AB32)=testData!month_2, F24=testData!VacationDay),1,0)+IF(AND(MONTH(AC32)=testData!month_2, G24=testData!VacationDay),1,0)+IF(AND(MONTH(AD32)=testData!month_2, H24=testData!VacationDay),1,0),
IF(AND(MONTH(Z27)=testData!month_2, D17=testData!VacationDay),1,0)+IF(AND(MONTH(AA27)=testData!month_2, E17=testData!VacationDay),1,0)+IF(AND(MONTH(AB27)=testData!month_2, F17=testData!VacationDay),1,0)+IF(AND(MONTH(AC27)=testData!month_2, G17=testData!VacationDay),1,0)+IF(AND(MONTH(AD27)=testData!month_2, H17=testData!VacationDay),1,0)
+IF(AND(MONTH(Z32)=testData!month_2, D22=testData!VacationDay),1,0)+IF(AND(MONTH(AA32)=testData!month_2, E22=testData!VacationDay),1,0)+IF(AND(MONTH(AB32)=testData!month_2, F22=testData!VacationDay),1,0)+IF(AND(MONTH(AC32)=testData!month_2, G22=testData!VacationDay),1,0)+IF(AND(MONTH(AD32)=testData!month_2, H22=testData!VacationDay),1,0)))</f>
        <v>#NAME?</v>
      </c>
      <c r="AB10" s="101"/>
      <c r="AC10" s="106" t="e">
        <f ca="1">IF(testData!WW_first_2=C18, COUNTIF(D19:H22,"="&amp;TEXT(testData!HolidayDay,0)),IF(testData!WW_first_2=C19, COUNTIF(D20:H23,"="&amp;TEXT(testData!HolidayDay,0)), COUNTIF(D18:H21,"="&amp;TEXT(testData!HolidayDay,0))))
+ IF(testData!WW_first_2=C18,
IF(AND(MONTH(Z27)=testData!month_2, D18=testData!HolidayDay),1,0)+IF(AND(MONTH(AA27)=testData!month_2, E18=testData!HolidayDay),1,0)+IF(AND(MONTH(AB27)=testData!month_2, F18=testData!HolidayDay),1,0)+IF(AND(MONTH(AC27)=testData!month_2, G18=testData!HolidayDay),1,0)+IF(AND(MONTH(AD27)=testData!month_2, H18=testData!HolidayDay),1,0)
+IF(AND(MONTH(Z32)=testData!month_2, D23=testData!HolidayDay),1,0)+IF(AND(MONTH(AA32)=testData!month_2, E23=testData!HolidayDay),1,0)+IF(AND(MONTH(AB32)=testData!month_2, E23=testData!HolidayDay),1,0)+IF(AND(MONTH(AC32)=testData!month_2, G23=testData!HolidayDay),1,0)+IF(AND(MONTH(AD32)=testData!month_2, H23=testData!HolidayDay),1,0),
IF(testData!WW_first_2=C19, IF(AND(MONTH(Z27)=testData!month_2, D19=testData!HolidayDay),1,0)+IF(AND(MONTH(AA27)=testData!month_2, E19=testData!HolidayDay),1,0)+IF(AND(MONTH(AB27)=testData!month_2, F19=testData!HolidayDay),1,0)+IF(AND(MONTH(AC27)=testData!month_2, G19=testData!HolidayDay),1,0)+IF(AND(MONTH(AD27)=testData!month_2, H19=testData!HolidayDay),1,0)
+IF(AND(MONTH(Z32)=testData!month_2, D24=testData!HolidayDay),1,0)+IF(AND(MONTH(AA32)=testData!month_2, E24=testData!HolidayDay),1,0)+IF(AND(MONTH(AB32)=testData!month_2, F24=testData!HolidayDay),1,0)+IF(AND(MONTH(AC32)=testData!month_2, G24=testData!HolidayDay),1,0)+IF(AND(MONTH(AD32)=testData!month_2, H24=testData!HolidayDay),1,0),
IF(AND(MONTH(Z27)=testData!month_2, D17=testData!HolidayDay),1,0)+IF(AND(MONTH(AA27)=testData!month_2, E17=testData!HolidayDay),1,0)+IF(AND(MONTH(AB27)=testData!month_2, F17=testData!HolidayDay),1,0)+IF(AND(MONTH(AC27)=testData!month_2, G17=testData!HolidayDay),1,0)+IF(AND(MONTH(AD27)=testData!month_2, H17=testData!HolidayDay),1,0)
+IF(AND(MONTH(Z32)=testData!month_2, D22=testData!HolidayDay),1,0)+IF(AND(MONTH(AA32)=testData!month_2, E22=testData!HolidayDay),1,0)+IF(AND(MONTH(AB32)=testData!month_2, F22=testData!HolidayDay),1,0)+IF(AND(MONTH(AC32)=testData!month_2, G22=testData!HolidayDay),1,0)+IF(AND(MONTH(AD32)=testData!month_2, H22=testData!HolidayDay),1,0)))</f>
        <v>#NAME?</v>
      </c>
      <c r="AD10" s="101"/>
      <c r="AE10" s="106" t="e">
        <f ca="1">IF(testData!WW_first_2=C18, COUNTIF(D19:H22,"="&amp;TEXT(testData!OnCallOffDay,0)),IF(testData!WW_first_2=C19, COUNTIF(D20:H23,"="&amp;TEXT(testData!OnCallOffDay,0)), COUNTIF(D18:H21,"="&amp;TEXT(testData!OnCallOffDay,0))))
+ IF(testData!WW_first_2=C18,
IF(AND(MONTH(Z27)=testData!month_2, D18=testData!OnCallOffDay),1,0)+IF(AND(MONTH(AA27)=testData!month_2, E18=testData!OnCallOffDay),1,0)+IF(AND(MONTH(AB27)=testData!month_2, F18=testData!OnCallOffDay),1,0)+IF(AND(MONTH(AC27)=testData!month_2, G18=testData!OnCallOffDay),1,0)+IF(AND(MONTH(AD27)=testData!month_2, H18=testData!OnCallOffDay),1,0)
+IF(AND(MONTH(Z32)=testData!month_2, D23=testData!OnCallOffDay),1,0)+IF(AND(MONTH(AA32)=testData!month_2, E23=testData!OnCallOffDay),1,0)+IF(AND(MONTH(AB32)=testData!month_2, E23=testData!OnCallOffDay),1,0)+IF(AND(MONTH(AC32)=testData!month_2, G23=testData!OnCallOffDay),1,0)+IF(AND(MONTH(AD32)=testData!month_2, H23=testData!OnCallOffDay),1,0),
IF(testData!WW_first_2=C19, IF(AND(MONTH(Z27)=testData!month_2, D19=testData!OnCallOffDay),1,0)+IF(AND(MONTH(AA27)=testData!month_2, E19=testData!OnCallOffDay),1,0)+IF(AND(MONTH(AB27)=testData!month_2, F19=testData!OnCallOffDay),1,0)+IF(AND(MONTH(AC27)=testData!month_2, G19=testData!OnCallOffDay),1,0)+IF(AND(MONTH(AD27)=testData!month_2, H19=testData!OnCallOffDay),1,0)
+IF(AND(MONTH(Z32)=testData!month_2, D24=testData!OnCallOffDay),1,0)+IF(AND(MONTH(AA32)=testData!month_2, E24=testData!OnCallOffDay),1,0)+IF(AND(MONTH(AB32)=testData!month_2, F24=testData!OnCallOffDay),1,0)+IF(AND(MONTH(AC32)=testData!month_2, G24=testData!OnCallOffDay),1,0)+IF(AND(MONTH(AD32)=testData!month_2, H24=testData!OnCallOffDay),1,0),
IF(AND(MONTH(Z27)=testData!month_2, D17=testData!OnCallOffDay),1,0)+IF(AND(MONTH(AA27)=testData!month_2, E17=testData!OnCallOffDay),1,0)+IF(AND(MONTH(AB27)=testData!month_2, F17=testData!OnCallOffDay),1,0)+IF(AND(MONTH(AC27)=testData!month_2, G17=testData!OnCallOffDay),1,0)+IF(AND(MONTH(AD27)=testData!month_2, H17=testData!OnCallOffDay),1,0)
+IF(AND(MONTH(Z32)=testData!month_2, D22=testData!OnCallOffDay),1,0)+IF(AND(MONTH(AA32)=testData!month_2, E22=testData!OnCallOffDay),1,0)+IF(AND(MONTH(AB32)=testData!month_2, F22=testData!OnCallOffDay),1,0)+IF(AND(MONTH(AC32)=testData!month_2, G22=testData!OnCallOffDay),1,0)+IF(AND(MONTH(AD32)=testData!month_2, H22=testData!OnCallOffDay),1,0)))</f>
        <v>#NAME?</v>
      </c>
      <c r="AF10" s="102"/>
      <c r="AG10" s="98" t="e">
        <f t="shared" ca="1" si="2"/>
        <v>#NAME?</v>
      </c>
      <c r="AH10" s="99"/>
      <c r="AI10" s="134" t="e">
        <f t="shared" ca="1" si="3"/>
        <v>#NAME?</v>
      </c>
      <c r="AJ10" s="99"/>
      <c r="AK10" s="100" t="str">
        <f ca="1">IFERROR(__xludf.DUMMYFUNCTION("if(AW10="""","""",IFERROR(SPARKLINE(AW10:AX10,{""charttype"",""bar"";""max"",1;""min"",0;""color1"",""#cbe5ed"";""color2"",""#f3f3f3""}),))"),"")</f>
        <v/>
      </c>
      <c r="AL10" s="101"/>
      <c r="AM10" s="101"/>
      <c r="AN10" s="101"/>
      <c r="AO10" s="101"/>
      <c r="AP10" s="101"/>
      <c r="AQ10" s="101"/>
      <c r="AR10" s="101"/>
      <c r="AS10" s="101"/>
      <c r="AT10" s="101"/>
      <c r="AU10" s="98" t="e">
        <f t="shared" ca="1" si="4"/>
        <v>#NAME?</v>
      </c>
      <c r="AV10" s="102"/>
      <c r="AW10" s="11" t="e">
        <f t="shared" ca="1" si="5"/>
        <v>#NAME?</v>
      </c>
      <c r="AX10" s="12" t="e">
        <f t="shared" ca="1" si="6"/>
        <v>#NAME?</v>
      </c>
    </row>
    <row r="11" spans="1:50" ht="18" customHeight="1">
      <c r="A11" s="3" t="e">
        <f>#REF!</f>
        <v>#REF!</v>
      </c>
      <c r="B11" s="13" t="e">
        <f ca="1">_xludf.IFS(E8="January",1,E8="February",2,E8="March",3,E8="April",4,E8="May",5,E8="June",6,E8="July",7,E8="August",8,E8="September",9,E8="October",10,E8="November",11,E8="December",12)</f>
        <v>#NAME?</v>
      </c>
      <c r="C11" s="95"/>
      <c r="D11" s="13">
        <v>1</v>
      </c>
      <c r="E11" s="3">
        <v>2</v>
      </c>
      <c r="F11" s="3">
        <v>3</v>
      </c>
      <c r="G11" s="3">
        <v>4</v>
      </c>
      <c r="H11" s="3">
        <v>5</v>
      </c>
      <c r="N11" s="16"/>
      <c r="O11" s="3"/>
      <c r="P11" s="3"/>
      <c r="Q11" s="94"/>
      <c r="R11" s="103" t="e">
        <f t="shared" ca="1" si="7"/>
        <v>#NAME?</v>
      </c>
      <c r="S11" s="104"/>
      <c r="T11" s="104"/>
      <c r="U11" s="135" t="e">
        <f t="shared" ca="1" si="0"/>
        <v>#NAME?</v>
      </c>
      <c r="V11" s="136"/>
      <c r="W11" s="137" t="e">
        <f ca="1">IF(testData!WW_first_3=C22, COUNTIF(D23:H26,"&gt;0"), IF(testData!WW_first_3=C23, COUNTIF(D24:H27,"&gt;0"), COUNTIF(D22:H25,"&gt;0")))
+ IF(testData!WW_first_3=C22,
IF(AND(MONTH(AH27)=testData!month_3, ISNUMBER(D22)),D22,0)+IF(AND(MONTH(AI27)=testData!month_3, ISNUMBER(E22)),E22,0)+IF(AND(MONTH(AJ27)=testData!month_3, ISNUMBER(F22)),F22,0)+IF(AND(MONTH(AK27)=testData!month_3, ISNUMBER(G22)),G22,0)+IF(AND(MONTH(AL27)=testData!month_3, ISNUMBER(H22)),H22,0)
+IF(AND(MONTH(AH32)=testData!month_3, ISNUMBER(D27)),D27,0)+IF(AND(MONTH(AI32)=testData!month_3, ISNUMBER(E27)),E27,0)+IF(AND(MONTH(AJ32)=testData!month_3, ISNUMBER(F27)),F27,0)+IF(AND(MONTH(AK32)=testData!month_3, ISNUMBER(G27)),G27,0)+IF(AND(MONTH(AL32)=testData!month_3, ISNUMBER(H27)),H27,0),
IF(testData!WW_first_3=C23,
IF(AND(MONTH(AH27)=testData!month_3, ISNUMBER(D23)),D23,0)+IF(AND(MONTH(AI27)=testData!month_3, ISNUMBER(E23)),E23,0)+IF(AND(MONTH(AJ27)=testData!month_3, ISNUMBER(F23)),F23,0)+IF(AND(MONTH(AK27)=testData!month_3, ISNUMBER(G23)),G23,0)+IF(AND(MONTH(AL27)=testData!month_3, ISNUMBER(H23)),H23,0)
+IF(AND(MONTH(AH32)=testData!month_3, ISNUMBER(D28)),D28,0)+IF(AND(MONTH(AI32)=testData!month_3, ISNUMBER(E28)),E28,0)+IF(AND(MONTH(AJ32)=testData!month_3, ISNUMBER(F28)),F28,0)+IF(AND(MONTH(AK32)=testData!month_3, ISNUMBER(G28)),G28,0)+IF(AND(MONTH(AL32)=testData!month_3, ISNUMBER(H28)),H28,0),
IF(AND(MONTH(AH27)=testData!month_3, ISNUMBER(D21)),D21,0)+IF(AND(MONTH(AI27)=testData!month_3, ISNUMBER(E21)),E21,0)+IF(AND(MONTH(AJ27)=testData!month_3, ISNUMBER(F21)),F21,0)+IF(AND(MONTH(AK27)=testData!month_3, ISNUMBER(G21)),G21,0)+IF(AND(MONTH(AL27)=testData!month_3, ISNUMBER(H21)),H21,0)
+IF(AND(MONTH(AH32)=testData!month_3, ISNUMBER(D26)),D26,0)+IF(AND(MONTH(AI32)=testData!month_3, ISNUMBER(E26)),E26,0)+IF(AND(MONTH(AJ32)=testData!month_3, ISNUMBER(F26)),F26,0)+IF(AND(MONTH(AK32)=testData!month_3, ISNUMBER(G26)),G26,0)+IF(AND(MONTH(AL32)=testData!month_3, ISNUMBER(H26)),H26,0)))</f>
        <v>#NAME?</v>
      </c>
      <c r="X11" s="99"/>
      <c r="Y11" s="106" t="e">
        <f t="shared" ca="1" si="1"/>
        <v>#NAME?</v>
      </c>
      <c r="Z11" s="102"/>
      <c r="AA11" s="105" t="e">
        <f ca="1">IF(testData!WW_first_3=C22, COUNTIF(D23:H26,"="&amp;TEXT(testData!VacationDay,0)), IF(testData!WW_first_3=C23, COUNTIF(D24:H27,"="&amp;TEXT(testData!VacationDay,0)), COUNTIF(D22:H25,"="&amp;TEXT(testData!VacationDay,0))))
+ IF(testData!WW_first_3=C22,
IF(AND(MONTH(AH27)=testData!month_3, D22=testData!VacationDay),1,0)+IF(AND(MONTH(AI27)=testData!month_3, E22=testData!VacationDay),1,0)+IF(AND(MONTH(AJ27)=testData!month_3, F22=testData!VacationDay),1,0)+IF(AND(MONTH(AK27)=testData!month_3, G22=testData!VacationDay),1,0)+IF(AND(MONTH(AL27)=testData!month_3, H22=testData!VacationDay),1,0)
+IF(AND(MONTH(AH32)=testData!month_3, D27=testData!VacationDay),1,0)+IF(AND(MONTH(AI32)=testData!month_3, E27=testData!VacationDay),1,0)+IF(AND(MONTH(AJ32)=testData!month_3, F27=testData!VacationDay),1,0)+IF(AND(MONTH(AK32)=testData!month_3, G27=testData!VacationDay),1,0)+IF(AND(MONTH(AL32)=testData!month_3, H27=testData!VacationDay),1,0),
IF(testData!WW_first_3=C23,
IF(AND(MONTH(AH27)=testData!month_3, D23=testData!VacationDay),1,0)+IF(AND(MONTH(AI27)=testData!month_3, E23=testData!VacationDay),1,0)+IF(AND(MONTH(AJ27)=testData!month_3, F23=testData!VacationDay),1,0)+IF(AND(MONTH(AK27)=testData!month_3, G23=testData!VacationDay),1,0)+IF(AND(MONTH(AL27)=testData!month_3, H23=testData!VacationDay),1,0)
+IF(AND(MONTH(AH32)=testData!month_3, D28=testData!VacationDay),1,0)+IF(AND(MONTH(AI32)=testData!month_3, E28=testData!VacationDay),1,0)+IF(AND(MONTH(AJ32)=testData!month_3, F28=testData!VacationDay),1,0)+IF(AND(MONTH(AK32)=testData!month_3, G28=testData!VacationDay),1,0)+IF(AND(MONTH(AL32)=testData!month_3, H28=testData!VacationDay),1,0),
IF(AND(MONTH(AH27)=testData!month_3, D21=testData!VacationDay),1,0)+IF(AND(MONTH(AI27)=testData!month_3, E21=testData!VacationDay),1,0)+IF(AND(MONTH(AJ27)=testData!month_3, F21=testData!VacationDay),1,0)+IF(AND(MONTH(AK27)=testData!month_3, G21=testData!VacationDay),1,0)+IF(AND(MONTH(AL27)=testData!month_3, H21=testData!VacationDay),1,0)
+IF(AND(MONTH(AH32)=testData!month_3, D26=testData!VacationDay),1,0)+IF(AND(MONTH(AI32)=testData!month_3, E26=testData!VacationDay),1,0)+IF(AND(MONTH(AJ32)=testData!month_3, F26=testData!VacationDay),1,0)+IF(AND(MONTH(AK32)=testData!month_3, G26=testData!VacationDay),1,0)+IF(AND(MONTH(AL32)=testData!month_3, H26=testData!VacationDay),1,0)))</f>
        <v>#NAME?</v>
      </c>
      <c r="AB11" s="101"/>
      <c r="AC11" s="106" t="e">
        <f ca="1">IF(testData!WW_first_3=C22, COUNTIF(D23:H26,"="&amp;TEXT(testData!HolidayDay,0)), IF(testData!WW_first_3=C23, COUNTIF(D24:H27,"="&amp;TEXT(testData!HolidayDay,0)), COUNTIF(D22:H25,"="&amp;TEXT(testData!HolidayDay,0))))
+ IF(testData!WW_first_3=C22,
IF(AND(MONTH(AH27)=testData!month_3, D22=testData!HolidayDay),1,0)+IF(AND(MONTH(AI27)=testData!month_3, E22=testData!HolidayDay),1,0)+IF(AND(MONTH(AJ27)=testData!month_3, F22=testData!HolidayDay),1,0)+IF(AND(MONTH(AK27)=testData!month_3, G22=testData!HolidayDay),1,0)+IF(AND(MONTH(AL27)=testData!month_3, H22=testData!HolidayDay),1,0)
+IF(AND(MONTH(AH32)=testData!month_3, D27=testData!HolidayDay),1,0)+IF(AND(MONTH(AI32)=testData!month_3, E27=testData!HolidayDay),1,0)+IF(AND(MONTH(AJ32)=testData!month_3, F27=testData!HolidayDay),1,0)+IF(AND(MONTH(AK32)=testData!month_3, G27=testData!HolidayDay),1,0)+IF(AND(MONTH(AL32)=testData!month_3, H27=testData!HolidayDay),1,0),
IF(testData!WW_first_3=C23,
IF(AND(MONTH(AH27)=testData!month_3, D23=testData!HolidayDay),1,0)+IF(AND(MONTH(AI27)=testData!month_3, E23=testData!HolidayDay),1,0)+IF(AND(MONTH(AJ27)=testData!month_3, F23=testData!HolidayDay),1,0)+IF(AND(MONTH(AK27)=testData!month_3, G23=testData!HolidayDay),1,0)+IF(AND(MONTH(AL27)=testData!month_3, H23=testData!HolidayDay),1,0)
+IF(AND(MONTH(AH32)=testData!month_3, D28=testData!HolidayDay),1,0)+IF(AND(MONTH(AI32)=testData!month_3, E28=testData!HolidayDay),1,0)+IF(AND(MONTH(AJ32)=testData!month_3, F28=testData!HolidayDay),1,0)+IF(AND(MONTH(AK32)=testData!month_3, G28=testData!HolidayDay),1,0)+IF(AND(MONTH(AL32)=testData!month_3, H28=testData!HolidayDay),1,0),
IF(AND(MONTH(AH27)=testData!month_3, D21=testData!HolidayDay),1,0)+IF(AND(MONTH(AI27)=testData!month_3, E21=testData!HolidayDay),1,0)+IF(AND(MONTH(AJ27)=testData!month_3, F21=testData!HolidayDay),1,0)+IF(AND(MONTH(AK27)=testData!month_3, G21=testData!HolidayDay),1,0)+IF(AND(MONTH(AL27)=testData!month_3, H21=testData!HolidayDay),1,0)
+IF(AND(MONTH(AH32)=testData!month_3, D26=testData!HolidayDay),1,0)+IF(AND(MONTH(AI32)=testData!month_3, E26=testData!HolidayDay),1,0)+IF(AND(MONTH(AJ32)=testData!month_3, F26=testData!HolidayDay),1,0)+IF(AND(MONTH(AK32)=testData!month_3, G26=testData!HolidayDay),1,0)+IF(AND(MONTH(AL32)=testData!month_3, H26=testData!HolidayDay),1,0)))</f>
        <v>#NAME?</v>
      </c>
      <c r="AD11" s="101"/>
      <c r="AE11" s="106" t="e">
        <f ca="1">IF(testData!WW_first_3=C22, COUNTIF(D23:H26,"="&amp;TEXT(testData!OnCallOffDay,0)), IF(testData!WW_first_3=C23, COUNTIF(D24:H27,"="&amp;TEXT(testData!OnCallOffDay,0)), COUNTIF(D22:H25,"="&amp;TEXT(testData!OnCallOffDay,0))))
+ IF(testData!WW_first_3=C22,
IF(AND(MONTH(AH27)=testData!month_3, D22=testData!OnCallOffDay),1,0)+IF(AND(MONTH(AI27)=testData!month_3, E22=testData!OnCallOffDay),1,0)+IF(AND(MONTH(AJ27)=testData!month_3, F22=testData!OnCallOffDay),1,0)+IF(AND(MONTH(AK27)=testData!month_3, G22=testData!OnCallOffDay),1,0)+IF(AND(MONTH(AL27)=testData!month_3, H22=testData!OnCallOffDay),1,0)
+IF(AND(MONTH(AH32)=testData!month_3, D27=testData!OnCallOffDay),1,0)+IF(AND(MONTH(AI32)=testData!month_3, E27=testData!OnCallOffDay),1,0)+IF(AND(MONTH(AJ32)=testData!month_3, F27=testData!OnCallOffDay),1,0)+IF(AND(MONTH(AK32)=testData!month_3, G27=testData!OnCallOffDay),1,0)+IF(AND(MONTH(AL32)=testData!month_3, H27=testData!OnCallOffDay),1,0),
IF(testData!WW_first_3=C23,
IF(AND(MONTH(AH27)=testData!month_3, D23=testData!OnCallOffDay),1,0)+IF(AND(MONTH(AI27)=testData!month_3, E23=testData!OnCallOffDay),1,0)+IF(AND(MONTH(AJ27)=testData!month_3, F23=testData!OnCallOffDay),1,0)+IF(AND(MONTH(AK27)=testData!month_3, G23=testData!OnCallOffDay),1,0)+IF(AND(MONTH(AL27)=testData!month_3, H23=testData!OnCallOffDay),1,0)
+IF(AND(MONTH(AH32)=testData!month_3, D28=testData!OnCallOffDay),1,0)+IF(AND(MONTH(AI32)=testData!month_3, E28=testData!OnCallOffDay),1,0)+IF(AND(MONTH(AJ32)=testData!month_3, F28=testData!OnCallOffDay),1,0)+IF(AND(MONTH(AK32)=testData!month_3, G28=testData!OnCallOffDay),1,0)+IF(AND(MONTH(AL32)=testData!month_3, H28=testData!OnCallOffDay),1,0),
IF(AND(MONTH(AH27)=testData!month_3, D21=testData!OnCallOffDay),1,0)+IF(AND(MONTH(AI27)=testData!month_3, E21=testData!OnCallOffDay),1,0)+IF(AND(MONTH(AJ27)=testData!month_3, F21=testData!OnCallOffDay),1,0)+IF(AND(MONTH(AK27)=testData!month_3, G21=testData!OnCallOffDay),1,0)+IF(AND(MONTH(AL27)=testData!month_3, H21=testData!OnCallOffDay),1,0)
+IF(AND(MONTH(AH32)=testData!month_3, D26=testData!OnCallOffDay),1,0)+IF(AND(MONTH(AI32)=testData!month_3, E26=testData!OnCallOffDay),1,0)+IF(AND(MONTH(AJ32)=testData!month_3, F26=testData!OnCallOffDay),1,0)+IF(AND(MONTH(AK32)=testData!month_3, G26=testData!OnCallOffDay),1,0)+IF(AND(MONTH(AL32)=testData!month_3, H26=testData!OnCallOffDay),1,0)))</f>
        <v>#NAME?</v>
      </c>
      <c r="AF11" s="102"/>
      <c r="AG11" s="98" t="e">
        <f t="shared" ca="1" si="2"/>
        <v>#NAME?</v>
      </c>
      <c r="AH11" s="99"/>
      <c r="AI11" s="134" t="e">
        <f t="shared" ca="1" si="3"/>
        <v>#NAME?</v>
      </c>
      <c r="AJ11" s="99"/>
      <c r="AK11" s="100" t="str">
        <f ca="1">IFERROR(__xludf.DUMMYFUNCTION("if(AW11="""","""",IFERROR(SPARKLINE(AW11:AX11,{""charttype"",""bar"";""max"",1;""min"",0;""color1"",""#cbe5ed"";""color2"",""#f3f3f3""}),))"),"")</f>
        <v/>
      </c>
      <c r="AL11" s="101"/>
      <c r="AM11" s="101"/>
      <c r="AN11" s="101"/>
      <c r="AO11" s="101"/>
      <c r="AP11" s="101"/>
      <c r="AQ11" s="101"/>
      <c r="AR11" s="101"/>
      <c r="AS11" s="101"/>
      <c r="AT11" s="101"/>
      <c r="AU11" s="98" t="e">
        <f t="shared" ca="1" si="4"/>
        <v>#NAME?</v>
      </c>
      <c r="AV11" s="102"/>
      <c r="AW11" s="11" t="e">
        <f t="shared" ca="1" si="5"/>
        <v>#NAME?</v>
      </c>
      <c r="AX11" s="12" t="e">
        <f t="shared" ca="1" si="6"/>
        <v>#NAME?</v>
      </c>
    </row>
    <row r="12" spans="1:50" ht="18" customHeight="1">
      <c r="A12" s="3" t="e">
        <f>#REF!</f>
        <v>#REF!</v>
      </c>
      <c r="B12" s="95"/>
      <c r="C12" s="95"/>
      <c r="D12" s="17" t="s">
        <v>16</v>
      </c>
      <c r="E12" s="18" t="s">
        <v>17</v>
      </c>
      <c r="F12" s="19" t="s">
        <v>6</v>
      </c>
      <c r="G12" s="20" t="s">
        <v>18</v>
      </c>
      <c r="H12" s="21" t="s">
        <v>19</v>
      </c>
      <c r="K12" s="96" t="s">
        <v>30</v>
      </c>
      <c r="L12" s="96" t="s">
        <v>31</v>
      </c>
      <c r="M12" s="97" t="s">
        <v>32</v>
      </c>
      <c r="N12" s="22" t="s">
        <v>20</v>
      </c>
      <c r="O12" s="3"/>
      <c r="P12" s="3"/>
      <c r="Q12" s="94"/>
      <c r="R12" s="103" t="e">
        <f t="shared" ca="1" si="7"/>
        <v>#NAME?</v>
      </c>
      <c r="S12" s="104"/>
      <c r="T12" s="104"/>
      <c r="U12" s="135" t="e">
        <f t="shared" ca="1" si="0"/>
        <v>#NAME?</v>
      </c>
      <c r="V12" s="136"/>
      <c r="W12" s="137" t="e">
        <f ca="1">IF(testData!WW_first_4=C26, COUNTIF(D27:H30,"&gt;0"), IF(testData!WW_first_4=C27, COUNTIF(D28:H31,"&gt;0"), COUNTIF(D26:H29,"&gt;0")))
+ IF(testData!WW_first_4=C26,
IF(AND(MONTH(AP27)=testData!month_4, ISNUMBER(D26)),D26,0)+IF(AND(MONTH(AQ27)=testData!month_4, ISNUMBER(E26)),E26,0)+IF(AND(MONTH(AR27)=testData!month_4, ISNUMBER(F26)),F26,0)+IF(AND(MONTH(AS27)=testData!month_4, ISNUMBER(G26)),G26,0)+IF(AND(MONTH(AT27)=testData!month_4, ISNUMBER(H26)),H26,0)
+IF(AND(MONTH(AP32)=testData!month_4, ISNUMBER(D31)),D31,0)+IF(AND(MONTH(AQ32)=testData!month_4, ISNUMBER(E31)),E31,0)+IF(AND(MONTH(AR32)=testData!month_4, ISNUMBER(F31)),F31,0)+IF(AND(MONTH(AS32)=testData!month_4, ISNUMBER(G31)),G31,0)+IF(AND(MONTH(AT32)=testData!month_4, ISNUMBER(H31)),H31,0),
IF(testData!WW_first_4=C27,
IF(AND(MONTH(AP27)=testData!month_4, ISNUMBER(D27)),D27,0)+IF(AND(MONTH(AQ27)=testData!month_4, ISNUMBER(E27)),E27,0)+IF(AND(MONTH(AR27)=testData!month_4, ISNUMBER(F27)),F27,0)+IF(AND(MONTH(AS27)=testData!month_4, ISNUMBER(G27)),G27,0)+IF(AND(MONTH(AT27)=testData!month_4, ISNUMBER(H27)),H27,0)
+IF(AND(MONTH(AP32)=testData!month_4, ISNUMBER(D32)),D32,0)+IF(AND(MONTH(AQ32)=testData!month_4, ISNUMBER(E32)),E32,0)+IF(AND(MONTH(AR32)=testData!month_4, ISNUMBER(F32)),F32,0)+IF(AND(MONTH(AS32)=testData!month_4, ISNUMBER(G32)),G32,0)+IF(AND(MONTH(AT32)=testData!month_4, ISNUMBER(H32)),H32,0),
IF(AND(MONTH(AP27)=testData!month_4, ISNUMBER(D25)),D25,0)+IF(AND(MONTH(AQ27)=testData!month_4, ISNUMBER(E25)),E25,0)+IF(AND(MONTH(AR27)=testData!month_4, ISNUMBER(F25)),F25,0)+IF(AND(MONTH(AS27)=testData!month_4, ISNUMBER(G25)),G25,0)+IF(AND(MONTH(AT27)=testData!month_4, ISNUMBER(H25)),H25,0)
+IF(AND(MONTH(AP32)=testData!month_4, ISNUMBER(D30)),D30,0)+IF(AND(MONTH(AQ32)=testData!month_4, ISNUMBER(E30)),E30,0)+IF(AND(MONTH(AR32)=testData!month_4, ISNUMBER(F30)),F30,0)+IF(AND(MONTH(AS32)=testData!month_4, ISNUMBER(G30)),G30,0)+IF(AND(MONTH(AT32)=testData!month_4, ISNUMBER(H30)),H30,0)))</f>
        <v>#NAME?</v>
      </c>
      <c r="X12" s="99"/>
      <c r="Y12" s="106" t="e">
        <f t="shared" ca="1" si="1"/>
        <v>#NAME?</v>
      </c>
      <c r="Z12" s="102"/>
      <c r="AA12" s="105" t="e">
        <f ca="1">IF(testData!WW_first_4=C26, COUNTIF(D27:H30,"="&amp;TEXT(testData!VacationDay,0)), IF(testData!WW_first_4=C27, COUNTIF(D28:H31,"="&amp;TEXT(testData!VacationDay,0)), COUNTIF(D26:H29,"="&amp;TEXT(testData!VacationDay,0))))
+ IF(testData!WW_first_4=C26,
IF(AND(MONTH(AP27)=testData!month_4, D26=testData!VacationDay),1,0)+IF(AND(MONTH(AQ27)=testData!month_4, E26=testData!VacationDay),1,0)+IF(AND(MONTH(AR27)=testData!month_4, F26=testData!VacationDay),1,0)+IF(AND(MONTH(AS27)=testData!month_4, G26=testData!VacationDay),1,0)+IF(AND(MONTH(AT27)=testData!month_4, H26=testData!VacationDay),1,0)
+IF(AND(MONTH(AP32)=testData!month_4, D31=testData!VacationDay),1,0)+IF(AND(MONTH(AQ32)=testData!month_4, E31=testData!VacationDay),1,0)+IF(AND(MONTH(AR32)=testData!month_4, F31=testData!VacationDay),1,0)+IF(AND(MONTH(AS32)=testData!month_4, G31=testData!VacationDay),1,0)+IF(AND(MONTH(AT32)=testData!month_4, H31=testData!VacationDay),1,0),
IF(testData!WW_first_4=C27,
IF(AND(MONTH(AP27)=testData!month_4, D27=testData!VacationDay),1,0)+IF(AND(MONTH(AQ27)=testData!month_4, E27=testData!VacationDay),1,0)+IF(AND(MONTH(AR27)=testData!month_4, F27=testData!VacationDay),1,0)+IF(AND(MONTH(AS27)=testData!month_4, G27=testData!VacationDay),1,0)+IF(AND(MONTH(AT27)=testData!month_4, H27=testData!VacationDay),1,0)
+IF(AND(MONTH(AP32)=testData!month_4, D32=testData!VacationDay),1,0)+IF(AND(MONTH(AQ32)=testData!month_4, E32=testData!VacationDay),1,0)+IF(AND(MONTH(AR32)=testData!month_4, F32=testData!VacationDay),1,0)+IF(AND(MONTH(AS32)=testData!month_4, G32=testData!VacationDay),1,0)+IF(AND(MONTH(AT32)=testData!month_4, H32=testData!VacationDay),1,0),
IF(AND(MONTH(AP27)=testData!month_4, D25=testData!VacationDay),1,0)+IF(AND(MONTH(AQ27)=testData!month_4, E25=testData!VacationDay),1,0)+IF(AND(MONTH(AR27)=testData!month_4, F25=testData!VacationDay),1,0)+IF(AND(MONTH(AS27)=testData!month_4, G25=testData!VacationDay),1,0)+IF(AND(MONTH(AT27)=testData!month_4, H25=testData!VacationDay),1,0)
+IF(AND(MONTH(AP32)=testData!month_4, D30=testData!VacationDay),1,0)+IF(AND(MONTH(AQ32)=testData!month_4, E30=testData!VacationDay),1,0)+IF(AND(MONTH(AR32)=testData!month_4, F30=testData!VacationDay),1,0)+IF(AND(MONTH(AS32)=testData!month_4, G30=testData!VacationDay),1,0)+IF(AND(MONTH(AT32)=testData!month_4, H30=testData!VacationDay),1,0)))</f>
        <v>#NAME?</v>
      </c>
      <c r="AB12" s="101"/>
      <c r="AC12" s="106" t="e">
        <f ca="1">IF(testData!WW_first_4=C26, COUNTIF(D27:H30,"="&amp;TEXT(testData!HolidayDay,0)), IF(testData!WW_first_4=C27, COUNTIF(D28:H31,"="&amp;TEXT(testData!HolidayDay,0)), COUNTIF(D26:H29,"="&amp;TEXT(testData!HolidayDay,0))))
+ IF(testData!WW_first_4=C26,
IF(AND(MONTH(AP27)=testData!month_4, D26=testData!HolidayDay),1,0)+IF(AND(MONTH(AQ27)=testData!month_4, E26=testData!HolidayDay),1,0)+IF(AND(MONTH(AR27)=testData!month_4, F26=testData!HolidayDay),1,0)+IF(AND(MONTH(AS27)=testData!month_4, G26=testData!HolidayDay),1,0)+IF(AND(MONTH(AT27)=testData!month_4, H26=testData!HolidayDay),1,0)
+IF(AND(MONTH(AP32)=testData!month_4, D31=testData!HolidayDay),1,0)+IF(AND(MONTH(AQ32)=testData!month_4, E31=testData!HolidayDay),1,0)+IF(AND(MONTH(AR32)=testData!month_4, F31=testData!HolidayDay),1,0)+IF(AND(MONTH(AS32)=testData!month_4, G31=testData!HolidayDay),1,0)+IF(AND(MONTH(AT32)=testData!month_4, H31=testData!HolidayDay),1,0),
IF(testData!WW_first_4=C27,
IF(AND(MONTH(AP27)=testData!month_4, D27=testData!HolidayDay),1,0)+IF(AND(MONTH(AQ27)=testData!month_4, E27=testData!HolidayDay),1,0)+IF(AND(MONTH(AR27)=testData!month_4, F27=testData!HolidayDay),1,0)+IF(AND(MONTH(AS27)=testData!month_4, G27=testData!HolidayDay),1,0)+IF(AND(MONTH(AT27)=testData!month_4, H27=testData!HolidayDay),1,0)
+IF(AND(MONTH(AP32)=testData!month_4, D32=testData!HolidayDay),1,0)+IF(AND(MONTH(AQ32)=testData!month_4, E32=testData!HolidayDay),1,0)+IF(AND(MONTH(AR32)=testData!month_4, F32=testData!HolidayDay),1,0)+IF(AND(MONTH(AS32)=testData!month_4, G32=testData!HolidayDay),1,0)+IF(AND(MONTH(AT32)=testData!month_4, H32=testData!HolidayDay),1,0),
IF(AND(MONTH(AP27)=testData!month_4, D25=testData!HolidayDay),1,0)+IF(AND(MONTH(AQ27)=testData!month_4, E25=testData!HolidayDay),1,0)+IF(AND(MONTH(AR27)=testData!month_4, F25=testData!HolidayDay),1,0)+IF(AND(MONTH(AS27)=testData!month_4, G25=testData!HolidayDay),1,0)+IF(AND(MONTH(AT27)=testData!month_4, H25=testData!HolidayDay),1,0)
+IF(AND(MONTH(AP32)=testData!month_4, D30=testData!HolidayDay),1,0)+IF(AND(MONTH(AQ32)=testData!month_4, E30=testData!HolidayDay),1,0)+IF(AND(MONTH(AR32)=testData!month_4, F30=testData!HolidayDay),1,0)+IF(AND(MONTH(AS32)=testData!month_4, G30=testData!HolidayDay),1,0)+IF(AND(MONTH(AT32)=testData!month_4, H30=testData!HolidayDay),1,0)))</f>
        <v>#NAME?</v>
      </c>
      <c r="AD12" s="101"/>
      <c r="AE12" s="106" t="e">
        <f ca="1">IF(testData!WW_first_4=C26, COUNTIF(D27:H30,"="&amp;TEXT(testData!OnCallOffDay,0)), IF(testData!WW_first_4=C27, COUNTIF(D28:H31,"="&amp;TEXT(testData!OnCallOffDay,0)), COUNTIF(D26:H29,"="&amp;TEXT(testData!OnCallOffDay,0))))
+ IF(testData!WW_first_4=C26,
IF(AND(MONTH(AP27)=testData!month_4, D26=testData!OnCallOffDay),1,0)+IF(AND(MONTH(AQ27)=testData!month_4, E26=testData!OnCallOffDay),1,0)+IF(AND(MONTH(AR27)=testData!month_4, F26=testData!OnCallOffDay),1,0)+IF(AND(MONTH(AS27)=testData!month_4, G26=testData!OnCallOffDay),1,0)+IF(AND(MONTH(AT27)=testData!month_4, H26=testData!OnCallOffDay),1,0)
+IF(AND(MONTH(AP32)=testData!month_4, D31=testData!OnCallOffDay),1,0)+IF(AND(MONTH(AQ32)=testData!month_4, E31=testData!OnCallOffDay),1,0)+IF(AND(MONTH(AR32)=testData!month_4, F31=testData!OnCallOffDay),1,0)+IF(AND(MONTH(AS32)=testData!month_4, G31=testData!OnCallOffDay),1,0)+IF(AND(MONTH(AT32)=testData!month_4, H31=testData!OnCallOffDay),1,0),
IF(testData!WW_first_4=C27,
IF(AND(MONTH(AP27)=testData!month_4, D27=testData!OnCallOffDay),1,0)+IF(AND(MONTH(AQ27)=testData!month_4, E27=testData!OnCallOffDay),1,0)+IF(AND(MONTH(AR27)=testData!month_4, F27=testData!OnCallOffDay),1,0)+IF(AND(MONTH(AS27)=testData!month_4, G27=testData!OnCallOffDay),1,0)+IF(AND(MONTH(AT27)=testData!month_4, H27=testData!OnCallOffDay),1,0)
+IF(AND(MONTH(AP32)=testData!month_4, D32=testData!OnCallOffDay),1,0)+IF(AND(MONTH(AQ32)=testData!month_4, E32=testData!OnCallOffDay),1,0)+IF(AND(MONTH(AR32)=testData!month_4, F32=testData!OnCallOffDay),1,0)+IF(AND(MONTH(AS32)=testData!month_4, G32=testData!OnCallOffDay),1,0)+IF(AND(MONTH(AT32)=testData!month_4, H32=testData!OnCallOffDay),1,0),
IF(AND(MONTH(AP27)=testData!month_4, D25=testData!OnCallOffDay),1,0)+IF(AND(MONTH(AQ27)=testData!month_4, E25=testData!OnCallOffDay),1,0)+IF(AND(MONTH(AR27)=testData!month_4, F25=testData!OnCallOffDay),1,0)+IF(AND(MONTH(AS27)=testData!month_4, G25=testData!OnCallOffDay),1,0)+IF(AND(MONTH(AT27)=testData!month_4, H25=testData!OnCallOffDay),1,0)
+IF(AND(MONTH(AP32)=testData!month_4, D30=testData!OnCallOffDay),1,0)+IF(AND(MONTH(AQ32)=testData!month_4, E30=testData!OnCallOffDay),1,0)+IF(AND(MONTH(AR32)=testData!month_4, F30=testData!OnCallOffDay),1,0)+IF(AND(MONTH(AS32)=testData!month_4, G30=testData!OnCallOffDay),1,0)+IF(AND(MONTH(AT32)=testData!month_4, H30=testData!OnCallOffDay),1,0)))</f>
        <v>#NAME?</v>
      </c>
      <c r="AF12" s="102"/>
      <c r="AG12" s="98" t="e">
        <f t="shared" ca="1" si="2"/>
        <v>#NAME?</v>
      </c>
      <c r="AH12" s="99"/>
      <c r="AI12" s="134" t="e">
        <f t="shared" ca="1" si="3"/>
        <v>#NAME?</v>
      </c>
      <c r="AJ12" s="99"/>
      <c r="AK12" s="100" t="str">
        <f ca="1">IFERROR(__xludf.DUMMYFUNCTION("if(AW12="""","""",IFERROR(SPARKLINE(AW12:AX12,{""charttype"",""bar"";""max"",1;""min"",0;""color1"",""#cbe5ed"";""color2"",""#f3f3f3""}),))"),"")</f>
        <v/>
      </c>
      <c r="AL12" s="101"/>
      <c r="AM12" s="101"/>
      <c r="AN12" s="101"/>
      <c r="AO12" s="101"/>
      <c r="AP12" s="101"/>
      <c r="AQ12" s="101"/>
      <c r="AR12" s="101"/>
      <c r="AS12" s="101"/>
      <c r="AT12" s="101"/>
      <c r="AU12" s="98" t="e">
        <f t="shared" ca="1" si="4"/>
        <v>#NAME?</v>
      </c>
      <c r="AV12" s="102"/>
      <c r="AW12" s="11" t="e">
        <f t="shared" ca="1" si="5"/>
        <v>#NAME?</v>
      </c>
      <c r="AX12" s="12" t="e">
        <f t="shared" ca="1" si="6"/>
        <v>#NAME?</v>
      </c>
    </row>
    <row r="13" spans="1:50" ht="18" customHeight="1">
      <c r="A13" s="3">
        <f t="shared" ref="A13:A66" si="8">SUM(D13:H13)</f>
        <v>0</v>
      </c>
      <c r="B13" s="23" t="s">
        <v>21</v>
      </c>
      <c r="C13" s="24" t="e">
        <f ca="1">IF(C14-1&lt;1, 52, C14-1)</f>
        <v>#NAME?</v>
      </c>
      <c r="D13" s="25" t="s">
        <v>6</v>
      </c>
      <c r="E13" s="32" t="s">
        <v>6</v>
      </c>
      <c r="F13" s="33" t="s">
        <v>6</v>
      </c>
      <c r="G13" s="28" t="s">
        <v>14</v>
      </c>
      <c r="H13" s="34" t="s">
        <v>6</v>
      </c>
      <c r="K13" s="29" t="e">
        <f t="shared" ref="K13:K66" si="9">AVERAGE(LARGE(A2:A13,1), LARGE(A2:A13,2),LARGE(A2:A13,3), LARGE(A2:A13,4),LARGE(A2:A13,5), LARGE(A2:A13,6),LARGE(A2:A13,7), LARGE(A2:A13,8),LARGE(A2:A13,9), LARGE(A2:A13,10))</f>
        <v>#REF!</v>
      </c>
      <c r="L13" s="29" t="e">
        <f t="shared" ref="L13:L66" si="10">AVERAGE(LARGE(A2:A13,1), LARGE(A2:A13,2),LARGE(A2:A13,3), LARGE(A2:A13,4),LARGE(A2:A13,5), LARGE(A2:A13,6),LARGE(A2:A13,7), LARGE(A2:A13,8))</f>
        <v>#REF!</v>
      </c>
      <c r="M13" s="29" t="e">
        <f t="shared" ref="M13:M66" si="11">AVERAGE(LARGE(A4:A13,1), LARGE(A4:A13,2),LARGE(A4:A13,3), LARGE(A4:A13,4),LARGE(A4:A13,5), LARGE(A4:A13,6),LARGE(A4:A13,7), LARGE(A4:A13,8))</f>
        <v>#REF!</v>
      </c>
      <c r="N13" s="30" t="e">
        <f t="shared" ref="N13:N66" si="12">IF(MAX(O13:P13)&gt;5,5,IF(MAX(O13:P13)&lt;0,0,ROUNDUP(MAX(O13:P13),0)))</f>
        <v>#REF!</v>
      </c>
      <c r="O13" s="82" t="e">
        <f t="shared" ref="O13:O23" si="13">($E$10*10)-SUM(LARGE(A3:A13,1), LARGE(A3:A13,2),LARGE(A3:A13,3), LARGE(A3:A13,4),LARGE(A3:A13,5), LARGE(A3:A13,6),LARGE(A3:A13,7), LARGE(A3:A13,8),LARGE(A3:A13,9), LARGE(A3:A13,10))</f>
        <v>#REF!</v>
      </c>
      <c r="P13" s="82" t="e">
        <f t="shared" ref="P13:P66" si="14">($E$10*8)-SUM(LARGE(A4:A13,1), LARGE(A4:A13,2),LARGE(A4:A13,3), LARGE(A4:A13,4),LARGE(A4:A13,5), LARGE(A4:A13,6),LARGE(A4:A13,7), LARGE(A4:A13,8))</f>
        <v>#REF!</v>
      </c>
      <c r="Q13" s="94"/>
      <c r="R13" s="103" t="e">
        <f t="shared" ca="1" si="7"/>
        <v>#NAME?</v>
      </c>
      <c r="S13" s="104"/>
      <c r="T13" s="104"/>
      <c r="U13" s="135" t="e">
        <f t="shared" ca="1" si="0"/>
        <v>#NAME?</v>
      </c>
      <c r="V13" s="136"/>
      <c r="W13" s="137" t="e">
        <f ca="1">IF(testData!WW_first_5=C30, COUNTIF(D31:H34,"&gt;0"), IF(testData!WW_first_5=C31, COUNTIF(D32:H35,"&gt;0"), COUNTIF(D30:H33,"&gt;0")))
+ IF(testData!WW_first_5=C30,
IF(AND(MONTH(R38)=testData!month_5, ISNUMBER(D30)),D30,0)+IF(AND(MONTH(S38)=testData!month_5, ISNUMBER(E30)),E30,0)+IF(AND(MONTH(T38)=testData!month_5, ISNUMBER(F30)),F30,0)+IF(AND(MONTH(U38)=testData!month_5, ISNUMBER(G30)),G30,0)+IF(AND(MONTH(V38)=testData!month_5, ISNUMBER(H30)),H30,0)
+IF(AND(MONTH(R43)=testData!month_5, ISNUMBER(D35)),D35,0)+IF(AND(MONTH(S43)=testData!month_5, ISNUMBER(E35)),E35,0)+IF(AND(MONTH(T43)=testData!month_5, ISNUMBER(F35)),F35,0)+IF(AND(MONTH(U43)=testData!month_5, ISNUMBER(G35)),G35,0)+IF(AND(MONTH(V43)=testData!month_5, ISNUMBER(H35)),H35,0),
IF(testData!WW_first_5=C31,
IF(AND(MONTH(R38)=testData!month_5, ISNUMBER(D31)),D31,0)+IF(AND(MONTH(S38)=testData!month_5, ISNUMBER(E31)),E31,0)+IF(AND(MONTH(T38)=testData!month_5, ISNUMBER(F31)),F31,0)+IF(AND(MONTH(U38)=testData!month_5, ISNUMBER(G31)),G31,0)+IF(AND(MONTH(V38)=testData!month_5, ISNUMBER(H31)),H31,0)
+IF(AND(MONTH(R43)=testData!month_5, ISNUMBER(D36)),D36,0)+IF(AND(MONTH(S43)=testData!month_5, ISNUMBER(E36)),E36,0)+IF(AND(MONTH(T43)=testData!month_5, ISNUMBER(F36)),F36,0)+IF(AND(MONTH(U43)=testData!month_5, ISNUMBER(G36)),G36,0)+IF(AND(MONTH(V43)=testData!month_5, ISNUMBER(H36)),H36,0),
IF(AND(MONTH(R38)=testData!month_5, ISNUMBER(D29)),D29,0)+IF(AND(MONTH(S38)=testData!month_5, ISNUMBER(E29)),E29,0)+IF(AND(MONTH(T38)=testData!month_5, ISNUMBER(F29)),F29,0)+IF(AND(MONTH(U38)=testData!month_5, ISNUMBER(G29)),G29,0)+IF(AND(MONTH(V38)=testData!month_5, ISNUMBER(H29)),H29,0)
+IF(AND(MONTH(R43)=testData!month_5, ISNUMBER(D34)),D34,0)+IF(AND(MONTH(S43)=testData!month_5, ISNUMBER(E34)),E34,0)+IF(AND(MONTH(T43)=testData!month_5, ISNUMBER(F34)),F34,0)+IF(AND(MONTH(U43)=testData!month_5, ISNUMBER(G34)),G34,0)+IF(AND(MONTH(V43)=testData!month_5, ISNUMBER(H34)),H34,0)))</f>
        <v>#NAME?</v>
      </c>
      <c r="X13" s="99"/>
      <c r="Y13" s="106" t="e">
        <f t="shared" ca="1" si="1"/>
        <v>#NAME?</v>
      </c>
      <c r="Z13" s="102"/>
      <c r="AA13" s="105" t="e">
        <f ca="1">IF(testData!WW_first_5=C30, COUNTIF(D31:H34,"="&amp;TEXT(testData!VacationDay,0)), IF(testData!WW_first_5=C31, COUNTIF(D32:H35,"="&amp;TEXT(testData!VacationDay,0)), COUNTIF(D30:H33,"="&amp;TEXT(testData!VacationDay,0))))
+ IF(testData!WW_first_5=C30,
IF(AND(MONTH(R38)=testData!month_5, D30=testData!VacationDay),1,0)+IF(AND(MONTH(S38)=testData!month_5, E30=testData!VacationDay),1,0)+IF(AND(MONTH(T38)=testData!month_5, F30=testData!VacationDay),1,0)+IF(AND(MONTH(U38)=testData!month_5, G30=testData!VacationDay),1,0)+IF(AND(MONTH(V38)=testData!month_5, H30=testData!VacationDay),1,0)
+IF(AND(MONTH(R43)=testData!month_5, D35=testData!VacationDay),1,0)+IF(AND(MONTH(S43)=testData!month_5, E35=testData!VacationDay),1,0)+IF(AND(MONTH(T43)=testData!month_5, F35=testData!VacationDay),1,0)+IF(AND(MONTH(U43)=testData!month_5, G35=testData!VacationDay),1,0)+IF(AND(MONTH(V43)=testData!month_5, H35=testData!VacationDay),1,0),
IF(testData!WW_first_5=C31,
IF(AND(MONTH(R38)=testData!month_5, D31=testData!VacationDay),1,0)+IF(AND(MONTH(S38)=testData!month_5, E31=testData!VacationDay),1,0)+IF(AND(MONTH(T38)=testData!month_5, F31=testData!VacationDay),1,0)+IF(AND(MONTH(U38)=testData!month_5, G31=testData!VacationDay),1,0)+IF(AND(MONTH(V38)=testData!month_5, H31=testData!VacationDay),1,0)
+IF(AND(MONTH(R43)=testData!month_5, D36=testData!VacationDay),1,0)+IF(AND(MONTH(S43)=testData!month_5, E36=testData!VacationDay),1,0)+IF(AND(MONTH(T43)=testData!month_5, F36=testData!VacationDay),1,0)+IF(AND(MONTH(U43)=testData!month_5, G36=testData!VacationDay),1,0)+IF(AND(MONTH(V43)=testData!month_5, H36=testData!VacationDay),1,0),
IF(AND(MONTH(R38)=testData!month_5, D29=testData!VacationDay),1,0)+IF(AND(MONTH(S38)=testData!month_5, E29=testData!VacationDay),1,0)+IF(AND(MONTH(T38)=testData!month_5, F29=testData!VacationDay),1,0)+IF(AND(MONTH(U38)=testData!month_5, G29=testData!VacationDay),1,0)+IF(AND(MONTH(V38)=testData!month_5, H29=testData!VacationDay),1,0)
+IF(AND(MONTH(R43)=testData!month_5, D34=testData!VacationDay),1,0)+IF(AND(MONTH(S43)=testData!month_5, E34=testData!VacationDay),1,0)+IF(AND(MONTH(T43)=testData!month_5, F34=testData!VacationDay),1,0)+IF(AND(MONTH(U43)=testData!month_5, G34=testData!VacationDay),1,0)+IF(AND(MONTH(V43)=testData!month_5, H34=testData!VacationDay),1,0)))</f>
        <v>#NAME?</v>
      </c>
      <c r="AB13" s="101"/>
      <c r="AC13" s="106" t="e">
        <f ca="1">IF(testData!WW_first_5=C30, COUNTIF(D31:H34,"="&amp;TEXT(testData!HolidayDay,0)), IF(testData!WW_first_5=C31, COUNTIF(D32:H35,"="&amp;TEXT(testData!HolidayDay,0)), COUNTIF(D30:H33,"="&amp;TEXT(testData!HolidayDay,0))))
+ IF(testData!WW_first_5=C30,
IF(AND(MONTH(R38)=testData!month_5, D30=testData!HolidayDay),1,0)+IF(AND(MONTH(S38)=testData!month_5, E30=testData!HolidayDay),1,0)+IF(AND(MONTH(T38)=testData!month_5, F30=testData!HolidayDay),1,0)+IF(AND(MONTH(U38)=testData!month_5, G30=testData!HolidayDay),1,0)+IF(AND(MONTH(V38)=testData!month_5, H30=testData!HolidayDay),1,0)
+IF(AND(MONTH(R43)=testData!month_5, D35=testData!HolidayDay),1,0)+IF(AND(MONTH(S43)=testData!month_5, E35=testData!HolidayDay),1,0)+IF(AND(MONTH(T43)=testData!month_5, F35=testData!HolidayDay),1,0)+IF(AND(MONTH(U43)=testData!month_5, G35=testData!HolidayDay),1,0)+IF(AND(MONTH(V43)=testData!month_5, H35=testData!HolidayDay),1,0),
IF(testData!WW_first_5=C31,
IF(AND(MONTH(R38)=testData!month_5, D31=testData!HolidayDay),1,0)+IF(AND(MONTH(S38)=testData!month_5, E31=testData!HolidayDay),1,0)+IF(AND(MONTH(T38)=testData!month_5, F31=testData!HolidayDay),1,0)+IF(AND(MONTH(U38)=testData!month_5, G31=testData!HolidayDay),1,0)+IF(AND(MONTH(V38)=testData!month_5, H31=testData!HolidayDay),1,0)
+IF(AND(MONTH(R43)=testData!month_5, D36=testData!HolidayDay),1,0)+IF(AND(MONTH(S43)=testData!month_5, E36=testData!HolidayDay),1,0)+IF(AND(MONTH(T43)=testData!month_5, F36=testData!HolidayDay),1,0)+IF(AND(MONTH(U43)=testData!month_5, G36=testData!HolidayDay),1,0)+IF(AND(MONTH(V43)=testData!month_5, H36=testData!HolidayDay),1,0),
IF(AND(MONTH(R38)=testData!month_5, D29=testData!HolidayDay),1,0)+IF(AND(MONTH(S38)=testData!month_5, E29=testData!HolidayDay),1,0)+IF(AND(MONTH(T38)=testData!month_5, F29=testData!HolidayDay),1,0)+IF(AND(MONTH(U38)=testData!month_5, G29=testData!HolidayDay),1,0)+IF(AND(MONTH(V38)=testData!month_5, H29=testData!HolidayDay),1,0)
+IF(AND(MONTH(R43)=testData!month_5, D34=testData!HolidayDay),1,0)+IF(AND(MONTH(S43)=testData!month_5, E34=testData!HolidayDay),1,0)+IF(AND(MONTH(T43)=testData!month_5, F34=testData!HolidayDay),1,0)+IF(AND(MONTH(U43)=testData!month_5, G34=testData!HolidayDay),1,0)+IF(AND(MONTH(V43)=testData!month_5, H34=testData!HolidayDay),1,0)))</f>
        <v>#NAME?</v>
      </c>
      <c r="AD13" s="101"/>
      <c r="AE13" s="106" t="e">
        <f ca="1">IF(testData!WW_first_5=C30, COUNTIF(D31:H34,"="&amp;TEXT(testData!OnCallOffDay,0)), IF(testData!WW_first_5=C31, COUNTIF(D32:H35,"="&amp;TEXT(testData!OnCallOffDay,0)), COUNTIF(D30:H33,"="&amp;TEXT(testData!OnCallOffDay,0))))
+ IF(testData!WW_first_5=C30,
IF(AND(MONTH(R38)=testData!month_5, D30=testData!OnCallOffDay),1,0)+IF(AND(MONTH(S38)=testData!month_5, E30=testData!OnCallOffDay),1,0)+IF(AND(MONTH(T38)=testData!month_5, F30=testData!OnCallOffDay),1,0)+IF(AND(MONTH(U38)=testData!month_5, G30=testData!OnCallOffDay),1,0)+IF(AND(MONTH(V38)=testData!month_5, H30=testData!OnCallOffDay),1,0)
+IF(AND(MONTH(R43)=testData!month_5, D35=testData!OnCallOffDay),1,0)+IF(AND(MONTH(S43)=testData!month_5, E35=testData!OnCallOffDay),1,0)+IF(AND(MONTH(T43)=testData!month_5, F35=testData!OnCallOffDay),1,0)+IF(AND(MONTH(U43)=testData!month_5, G35=testData!OnCallOffDay),1,0)+IF(AND(MONTH(V43)=testData!month_5, H35=testData!OnCallOffDay),1,0),
IF(testData!WW_first_5=C31,
IF(AND(MONTH(R38)=testData!month_5, D31=testData!OnCallOffDay),1,0)+IF(AND(MONTH(S38)=testData!month_5, E31=testData!OnCallOffDay),1,0)+IF(AND(MONTH(T38)=testData!month_5, F31=testData!OnCallOffDay),1,0)+IF(AND(MONTH(U38)=testData!month_5, G31=testData!OnCallOffDay),1,0)+IF(AND(MONTH(V38)=testData!month_5, H31=testData!OnCallOffDay),1,0)
+IF(AND(MONTH(R43)=testData!month_5, D36=testData!OnCallOffDay),1,0)+IF(AND(MONTH(S43)=testData!month_5, E36=testData!OnCallOffDay),1,0)+IF(AND(MONTH(T43)=testData!month_5, F36=testData!OnCallOffDay),1,0)+IF(AND(MONTH(U43)=testData!month_5, G36=testData!OnCallOffDay),1,0)+IF(AND(MONTH(V43)=testData!month_5, H36=testData!OnCallOffDay),1,0),
IF(AND(MONTH(R38)=testData!month_5, D29=testData!OnCallOffDay),1,0)+IF(AND(MONTH(S38)=testData!month_5, E29=testData!OnCallOffDay),1,0)+IF(AND(MONTH(T38)=testData!month_5, F29=testData!OnCallOffDay),1,0)+IF(AND(MONTH(U38)=testData!month_5, G29=testData!OnCallOffDay),1,0)+IF(AND(MONTH(V38)=testData!month_5, H29=testData!OnCallOffDay),1,0)
+IF(AND(MONTH(R43)=testData!month_5, D34=testData!OnCallOffDay),1,0)+IF(AND(MONTH(S43)=testData!month_5, E34=testData!OnCallOffDay),1,0)+IF(AND(MONTH(T43)=testData!month_5, F34=testData!OnCallOffDay),1,0)+IF(AND(MONTH(U43)=testData!month_5, G34=testData!OnCallOffDay),1,0)+IF(AND(MONTH(V43)=testData!month_5, H34=testData!OnCallOffDay),1,0)))</f>
        <v>#NAME?</v>
      </c>
      <c r="AF13" s="102"/>
      <c r="AG13" s="98" t="e">
        <f t="shared" ca="1" si="2"/>
        <v>#NAME?</v>
      </c>
      <c r="AH13" s="99"/>
      <c r="AI13" s="134" t="e">
        <f t="shared" ca="1" si="3"/>
        <v>#NAME?</v>
      </c>
      <c r="AJ13" s="99"/>
      <c r="AK13" s="100" t="str">
        <f ca="1">IFERROR(__xludf.DUMMYFUNCTION("if(AW13="""","""",IFERROR(SPARKLINE(AW13:AX13,{""charttype"",""bar"";""max"",1;""min"",0;""color1"",""#cbe5ed"";""color2"",""#f3f3f3""}),))"),"")</f>
        <v/>
      </c>
      <c r="AL13" s="101"/>
      <c r="AM13" s="101"/>
      <c r="AN13" s="101"/>
      <c r="AO13" s="101"/>
      <c r="AP13" s="101"/>
      <c r="AQ13" s="101"/>
      <c r="AR13" s="101"/>
      <c r="AS13" s="101"/>
      <c r="AT13" s="101"/>
      <c r="AU13" s="98" t="e">
        <f t="shared" ca="1" si="4"/>
        <v>#NAME?</v>
      </c>
      <c r="AV13" s="102"/>
      <c r="AW13" s="11" t="e">
        <f t="shared" ca="1" si="5"/>
        <v>#NAME?</v>
      </c>
      <c r="AX13" s="12" t="e">
        <f t="shared" ca="1" si="6"/>
        <v>#NAME?</v>
      </c>
    </row>
    <row r="14" spans="1:50" ht="18" customHeight="1">
      <c r="A14" s="3">
        <f t="shared" si="8"/>
        <v>2</v>
      </c>
      <c r="B14" s="23" t="s">
        <v>21</v>
      </c>
      <c r="C14" s="24" t="e">
        <f ca="1">WEEKNUM((DATE(YEAR(A1),MONTH(A1),1+1*7)-WEEKDAY(DATE(YEAR(A1),MONTH(A1),8-2))))</f>
        <v>#NAME?</v>
      </c>
      <c r="D14" s="25" t="s">
        <v>6</v>
      </c>
      <c r="E14" s="32" t="s">
        <v>6</v>
      </c>
      <c r="F14" s="33" t="s">
        <v>6</v>
      </c>
      <c r="G14" s="28">
        <v>1</v>
      </c>
      <c r="H14" s="34">
        <v>1</v>
      </c>
      <c r="K14" s="29" t="e">
        <f t="shared" si="9"/>
        <v>#REF!</v>
      </c>
      <c r="L14" s="29" t="e">
        <f t="shared" si="10"/>
        <v>#REF!</v>
      </c>
      <c r="M14" s="29" t="e">
        <f t="shared" si="11"/>
        <v>#REF!</v>
      </c>
      <c r="N14" s="30" t="e">
        <f t="shared" si="12"/>
        <v>#REF!</v>
      </c>
      <c r="O14" s="82" t="e">
        <f t="shared" si="13"/>
        <v>#REF!</v>
      </c>
      <c r="P14" s="82" t="e">
        <f t="shared" si="14"/>
        <v>#REF!</v>
      </c>
      <c r="Q14" s="94"/>
      <c r="R14" s="103" t="e">
        <f t="shared" ca="1" si="7"/>
        <v>#NAME?</v>
      </c>
      <c r="S14" s="104"/>
      <c r="T14" s="104"/>
      <c r="U14" s="135" t="e">
        <f t="shared" ca="1" si="0"/>
        <v>#NAME?</v>
      </c>
      <c r="V14" s="136"/>
      <c r="W14" s="137" t="e">
        <f ca="1">IF(testData!WW_first_6=C35, COUNTIF(D36:H39,"&gt;0"), IF(testData!WW_first_6=C36, COUNTIF(D37:H40,"&gt;0"), COUNTIF(D35:H38,"&gt;0")))
+ IF(testData!WW_first_6=C35,
IF(AND(MONTH(Z38)=testData!month_6, ISNUMBER(D35)),D35,0)+IF(AND(MONTH(AA38)=testData!month_6, ISNUMBER(E35)),E35,0)+IF(AND(MONTH(AB38)=testData!month_6, ISNUMBER(F35)),F35,0)+IF(AND(MONTH(AC38)=testData!month_6, ISNUMBER(G35)),G35,0)+IF(AND(MONTH(AD38)=testData!month_6, ISNUMBER(H35)),H35,0)
+IF(AND(MONTH(Z43)=testData!month_6, ISNUMBER(D40)),D40,0)+IF(AND(MONTH(AA43)=testData!month_6, ISNUMBER(E40)),E40,0)+IF(AND(MONTH(AB43)=testData!month_6, ISNUMBER(F40)),F40,0)+IF(AND(MONTH(AC43)=testData!month_6, ISNUMBER(G40)),G40,0)+IF(AND(MONTH(AD43)=testData!month_6, ISNUMBER(H40)),H40,0),
IF(testData!WW_first_6=C36,
IF(AND(MONTH(Z38)=testData!month_6, ISNUMBER(D36)),D36,0)+IF(AND(MONTH(AA38)=testData!month_6, ISNUMBER(E36)),E36,0)+IF(AND(MONTH(AB38)=testData!month_6, ISNUMBER(F36)),F36,0)+IF(AND(MONTH(AC38)=testData!month_6, ISNUMBER(G36)),G36,0)+IF(AND(MONTH(AD38)=testData!month_6, ISNUMBER(H36)),H36,0)
+IF(AND(MONTH(Z43)=testData!month_6, ISNUMBER(D41)),D41,0)+IF(AND(MONTH(AA43)=testData!month_6, ISNUMBER(E41)),E41,0)+IF(AND(MONTH(AB43)=testData!month_6, ISNUMBER(F41)),F41,0)+IF(AND(MONTH(AC43)=testData!month_6, ISNUMBER(G41)),G41,0)+IF(AND(MONTH(AD43)=testData!month_6, ISNUMBER(H41)),H41,0),
IF(AND(MONTH(Z38)=testData!month_6, ISNUMBER(D34)),D34,0)+IF(AND(MONTH(AA38)=testData!month_6, ISNUMBER(E34)),E34,0)+IF(AND(MONTH(AB38)=testData!month_6, ISNUMBER(F34)),F34,0)+IF(AND(MONTH(AC38)=testData!month_6, ISNUMBER(G34)),G34,0)+IF(AND(MONTH(AD38)=testData!month_6, ISNUMBER(H34)),H34,0)
+IF(AND(MONTH(Z43)=testData!month_6, ISNUMBER(D39)),D39,0)+IF(AND(MONTH(AA43)=testData!month_6, ISNUMBER(E39)),E39,0)+IF(AND(MONTH(AB43)=testData!month_6, ISNUMBER(F39)),F39,0)+IF(AND(MONTH(AC43)=testData!month_6, ISNUMBER(G39)),G39,0)+IF(AND(MONTH(AD43)=testData!month_6, ISNUMBER(H39)),H39,0)))</f>
        <v>#NAME?</v>
      </c>
      <c r="X14" s="99"/>
      <c r="Y14" s="106" t="e">
        <f t="shared" ca="1" si="1"/>
        <v>#NAME?</v>
      </c>
      <c r="Z14" s="102"/>
      <c r="AA14" s="105" t="e">
        <f ca="1">IF(testData!WW_first_6=C35, COUNTIF(D36:H39,"="&amp;TEXT(testData!VacationDay,0)), IF(testData!WW_first_6=C36, COUNTIF(D37:H40,"="&amp;TEXT(testData!VacationDay,0)), COUNTIF(D35:H38,"="&amp;TEXT(testData!VacationDay,0))))
+ IF(testData!WW_first_6=C35,
IF(AND(MONTH(Z38)=testData!month_6, D35=testData!VacationDay),1,0)+IF(AND(MONTH(AA38)=testData!month_6, E35=testData!VacationDay),1,0)+IF(AND(MONTH(AB38)=testData!month_6, F35=testData!VacationDay),1,0)+IF(AND(MONTH(AC38)=testData!month_6, G35=testData!VacationDay),1,0)+IF(AND(MONTH(AD38)=testData!month_6, H35=testData!VacationDay),1,0)
+IF(AND(MONTH(Z43)=testData!month_6, D40=testData!VacationDay),1,0)+IF(AND(MONTH(AA43)=testData!month_6, E40=testData!VacationDay),1,0)+IF(AND(MONTH(AB43)=testData!month_6, F40=testData!VacationDay),1,0)+IF(AND(MONTH(AC43)=testData!month_6, G40=testData!VacationDay),1,0)+IF(AND(MONTH(AD43)=testData!month_6, H40=testData!VacationDay),1,0),
IF(testData!WW_first_6=C36,
IF(AND(MONTH(Z38)=testData!month_6, D36=testData!VacationDay),1,0)+IF(AND(MONTH(AA38)=testData!month_6, E36=testData!VacationDay),1,0)+IF(AND(MONTH(AB38)=testData!month_6, F36=testData!VacationDay),1,0)+IF(AND(MONTH(AC38)=testData!month_6, G36=testData!VacationDay),1,0)+IF(AND(MONTH(AD38)=testData!month_6, H36=testData!VacationDay),1,0)
+IF(AND(MONTH(Z43)=testData!month_6, D41=testData!VacationDay),1,0)+IF(AND(MONTH(AA43)=testData!month_6, E41=testData!VacationDay),1,0)+IF(AND(MONTH(AB43)=testData!month_6, F41=testData!VacationDay),1,0)+IF(AND(MONTH(AC43)=testData!month_6, G41=testData!VacationDay),1,0)+IF(AND(MONTH(AD43)=testData!month_6, H41=testData!VacationDay),1,0),
IF(AND(MONTH(Z38)=testData!month_6, D34=testData!VacationDay),1,0)+IF(AND(MONTH(AA38)=testData!month_6, E34=testData!VacationDay),1,0)+IF(AND(MONTH(AB38)=testData!month_6, F34=testData!VacationDay),1,0)+IF(AND(MONTH(AC38)=testData!month_6, G34=testData!VacationDay),1,0)+IF(AND(MONTH(AD38)=testData!month_6, H34=testData!VacationDay),1,0)
+IF(AND(MONTH(Z43)=testData!month_6, D39=testData!VacationDay),1,0)+IF(AND(MONTH(AA43)=testData!month_6, E39=testData!VacationDay),1,0)+IF(AND(MONTH(AB43)=testData!month_6, F39=testData!VacationDay),1,0)+IF(AND(MONTH(AC43)=testData!month_6, G39=testData!VacationDay),1,0)+IF(AND(MONTH(AD43)=testData!month_6, H39=testData!VacationDay),1,0)))</f>
        <v>#NAME?</v>
      </c>
      <c r="AB14" s="101"/>
      <c r="AC14" s="106" t="e">
        <f ca="1">IF(testData!WW_first_6=C35, COUNTIF(D36:H39,"="&amp;TEXT(testData!HolidayDay,0)), IF(testData!WW_first_6=C36, COUNTIF(D37:H40,"="&amp;TEXT(testData!HolidayDay,0)), COUNTIF(D35:H38,"="&amp;TEXT(testData!HolidayDay,0))))
+ IF(testData!WW_first_6=C35,
IF(AND(MONTH(Z38)=testData!month_6, D35=testData!HolidayDay),1,0)+IF(AND(MONTH(AA38)=testData!month_6, E35=testData!HolidayDay),1,0)+IF(AND(MONTH(AB38)=testData!month_6, F35=testData!HolidayDay),1,0)+IF(AND(MONTH(AC38)=testData!month_6, G35=testData!HolidayDay),1,0)+IF(AND(MONTH(AD38)=testData!month_6, H35=testData!HolidayDay),1,0)
+IF(AND(MONTH(Z43)=testData!month_6, D40=testData!HolidayDay),1,0)+IF(AND(MONTH(AA43)=testData!month_6, E40=testData!HolidayDay),1,0)+IF(AND(MONTH(AB43)=testData!month_6, F40=testData!HolidayDay),1,0)+IF(AND(MONTH(AC43)=testData!month_6, G40=testData!HolidayDay),1,0)+IF(AND(MONTH(AD43)=testData!month_6, H40=testData!HolidayDay),1,0),
IF(testData!WW_first_6=C36,
IF(AND(MONTH(Z38)=testData!month_6, D36=testData!HolidayDay),1,0)+IF(AND(MONTH(AA38)=testData!month_6, E36=testData!HolidayDay),1,0)+IF(AND(MONTH(AB38)=testData!month_6, F36=testData!HolidayDay),1,0)+IF(AND(MONTH(AC38)=testData!month_6, G36=testData!HolidayDay),1,0)+IF(AND(MONTH(AD38)=testData!month_6, H36=testData!HolidayDay),1,0)
+IF(AND(MONTH(Z43)=testData!month_6, D41=testData!HolidayDay),1,0)+IF(AND(MONTH(AA43)=testData!month_6, E41=testData!HolidayDay),1,0)+IF(AND(MONTH(AB43)=testData!month_6, F41=testData!HolidayDay),1,0)+IF(AND(MONTH(AC43)=testData!month_6, G41=testData!HolidayDay),1,0)+IF(AND(MONTH(AD43)=testData!month_6, H41=testData!HolidayDay),1,0),
IF(AND(MONTH(Z38)=testData!month_6, D34=testData!HolidayDay),1,0)+IF(AND(MONTH(AA38)=testData!month_6, E34=testData!HolidayDay),1,0)+IF(AND(MONTH(AB38)=testData!month_6, F34=testData!HolidayDay),1,0)+IF(AND(MONTH(AC38)=testData!month_6, G34=testData!HolidayDay),1,0)+IF(AND(MONTH(AD38)=testData!month_6, H34=testData!HolidayDay),1,0)
+IF(AND(MONTH(Z43)=testData!month_6, D39=testData!HolidayDay),1,0)+IF(AND(MONTH(AA43)=testData!month_6, E39=testData!HolidayDay),1,0)+IF(AND(MONTH(AB43)=testData!month_6, F39=testData!HolidayDay),1,0)+IF(AND(MONTH(AC43)=testData!month_6, G39=testData!HolidayDay),1,0)+IF(AND(MONTH(AD43)=testData!month_6, H39=testData!HolidayDay),1,0)))</f>
        <v>#NAME?</v>
      </c>
      <c r="AD14" s="101"/>
      <c r="AE14" s="106" t="e">
        <f ca="1">IF(testData!WW_first_6=C35, COUNTIF(D36:H39,"="&amp;TEXT(testData!OnCallOffDay,0)), IF(testData!WW_first_6=C36, COUNTIF(D37:H40,"="&amp;TEXT(testData!OnCallOffDay,0)), COUNTIF(D35:H38,"="&amp;TEXT(testData!OnCallOffDay,0))))
+ IF(testData!WW_first_6=C35,
IF(AND(MONTH(Z38)=testData!month_6, D35=testData!OnCallOffDay),1,0)+IF(AND(MONTH(AA38)=testData!month_6, E35=testData!OnCallOffDay),1,0)+IF(AND(MONTH(AB38)=testData!month_6, F35=testData!OnCallOffDay),1,0)+IF(AND(MONTH(AC38)=testData!month_6, G35=testData!OnCallOffDay),1,0)+IF(AND(MONTH(AD38)=testData!month_6, H35=testData!OnCallOffDay),1,0)
+IF(AND(MONTH(Z43)=testData!month_6, D40=testData!OnCallOffDay),1,0)+IF(AND(MONTH(AA43)=testData!month_6, E40=testData!OnCallOffDay),1,0)+IF(AND(MONTH(AB43)=testData!month_6, F40=testData!OnCallOffDay),1,0)+IF(AND(MONTH(AC43)=testData!month_6, G40=testData!OnCallOffDay),1,0)+IF(AND(MONTH(AD43)=testData!month_6, H40=testData!OnCallOffDay),1,0),
IF(testData!WW_first_6=C36,
IF(AND(MONTH(Z38)=testData!month_6, D36=testData!OnCallOffDay),1,0)+IF(AND(MONTH(AA38)=testData!month_6, E36=testData!OnCallOffDay),1,0)+IF(AND(MONTH(AB38)=testData!month_6, F36=testData!OnCallOffDay),1,0)+IF(AND(MONTH(AC38)=testData!month_6, G36=testData!OnCallOffDay),1,0)+IF(AND(MONTH(AD38)=testData!month_6, H36=testData!OnCallOffDay),1,0)
+IF(AND(MONTH(Z43)=testData!month_6, D41=testData!OnCallOffDay),1,0)+IF(AND(MONTH(AA43)=testData!month_6, E41=testData!OnCallOffDay),1,0)+IF(AND(MONTH(AB43)=testData!month_6, F41=testData!OnCallOffDay),1,0)+IF(AND(MONTH(AC43)=testData!month_6, G41=testData!OnCallOffDay),1,0)+IF(AND(MONTH(AD43)=testData!month_6, H41=testData!OnCallOffDay),1,0),
IF(AND(MONTH(Z38)=testData!month_6, D34=testData!OnCallOffDay),1,0)+IF(AND(MONTH(AA38)=testData!month_6, E34=testData!OnCallOffDay),1,0)+IF(AND(MONTH(AB38)=testData!month_6, F34=testData!OnCallOffDay),1,0)+IF(AND(MONTH(AC38)=testData!month_6, G34=testData!OnCallOffDay),1,0)+IF(AND(MONTH(AD38)=testData!month_6, H34=testData!OnCallOffDay),1,0)
+IF(AND(MONTH(Z43)=testData!month_6, D39=testData!OnCallOffDay),1,0)+IF(AND(MONTH(AA43)=testData!month_6, E39=testData!OnCallOffDay),1,0)+IF(AND(MONTH(AB43)=testData!month_6, F39=testData!OnCallOffDay),1,0)+IF(AND(MONTH(AC43)=testData!month_6, G39=testData!OnCallOffDay),1,0)+IF(AND(MONTH(AD43)=testData!month_6, H39=testData!OnCallOffDay),1,0)))</f>
        <v>#NAME?</v>
      </c>
      <c r="AF14" s="102"/>
      <c r="AG14" s="98" t="e">
        <f t="shared" ca="1" si="2"/>
        <v>#NAME?</v>
      </c>
      <c r="AH14" s="99"/>
      <c r="AI14" s="134" t="e">
        <f t="shared" ca="1" si="3"/>
        <v>#NAME?</v>
      </c>
      <c r="AJ14" s="99"/>
      <c r="AK14" s="100" t="str">
        <f ca="1">IFERROR(__xludf.DUMMYFUNCTION("if(AW14="""","""",IFERROR(SPARKLINE(AW14:AX14,{""charttype"",""bar"";""max"",1;""min"",0;""color1"",""#cbe5ed"";""color2"",""#f3f3f3""}),))"),"")</f>
        <v/>
      </c>
      <c r="AL14" s="101"/>
      <c r="AM14" s="101"/>
      <c r="AN14" s="101"/>
      <c r="AO14" s="101"/>
      <c r="AP14" s="101"/>
      <c r="AQ14" s="101"/>
      <c r="AR14" s="101"/>
      <c r="AS14" s="101"/>
      <c r="AT14" s="101"/>
      <c r="AU14" s="98" t="e">
        <f t="shared" ca="1" si="4"/>
        <v>#NAME?</v>
      </c>
      <c r="AV14" s="102"/>
      <c r="AW14" s="11" t="e">
        <f t="shared" ca="1" si="5"/>
        <v>#NAME?</v>
      </c>
      <c r="AX14" s="12" t="e">
        <f t="shared" ca="1" si="6"/>
        <v>#NAME?</v>
      </c>
    </row>
    <row r="15" spans="1:50" ht="18" customHeight="1">
      <c r="A15" s="3">
        <f t="shared" si="8"/>
        <v>4</v>
      </c>
      <c r="B15" s="23" t="s">
        <v>21</v>
      </c>
      <c r="C15" s="24" t="e">
        <f t="shared" ref="C15:C66" ca="1" si="15">IF(C14+1&gt;52, 1, C14+1)</f>
        <v>#NAME?</v>
      </c>
      <c r="D15" s="25">
        <v>1</v>
      </c>
      <c r="E15" s="32">
        <v>1</v>
      </c>
      <c r="F15" s="33">
        <v>1</v>
      </c>
      <c r="G15" s="28"/>
      <c r="H15" s="34">
        <v>1</v>
      </c>
      <c r="I15" s="35"/>
      <c r="J15" s="35"/>
      <c r="K15" s="29" t="e">
        <f t="shared" si="9"/>
        <v>#REF!</v>
      </c>
      <c r="L15" s="29" t="e">
        <f t="shared" si="10"/>
        <v>#REF!</v>
      </c>
      <c r="M15" s="29" t="e">
        <f t="shared" si="11"/>
        <v>#REF!</v>
      </c>
      <c r="N15" s="30" t="e">
        <f t="shared" si="12"/>
        <v>#REF!</v>
      </c>
      <c r="O15" s="82" t="e">
        <f t="shared" si="13"/>
        <v>#REF!</v>
      </c>
      <c r="P15" s="82" t="e">
        <f t="shared" si="14"/>
        <v>#REF!</v>
      </c>
      <c r="Q15" s="94"/>
      <c r="R15" s="103" t="e">
        <f t="shared" ca="1" si="7"/>
        <v>#NAME?</v>
      </c>
      <c r="S15" s="104"/>
      <c r="T15" s="104"/>
      <c r="U15" s="135" t="e">
        <f t="shared" ca="1" si="0"/>
        <v>#NAME?</v>
      </c>
      <c r="V15" s="136"/>
      <c r="W15" s="137" t="e">
        <f ca="1">IF(testData!WW_first_7=C39, COUNTIF(D40:H43,"&gt;0"), IF(testData!WW_first_7=C40, COUNTIF(D41:H44,"&gt;0"), COUNTIF(D39:H42,"&gt;0")))
+ IF(testData!WW_first_7=C39,
IF(AND(MONTH(AH38)=testData!month_7, ISNUMBER(D39)),D39,0)+IF(AND(MONTH(AI38)=testData!month_7, ISNUMBER(E39)),E39,0)+IF(AND(MONTH(AJ38)=testData!month_7, ISNUMBER(F39)),F39,0)+IF(AND(MONTH(AK38)=testData!month_7, ISNUMBER(G39)),G39,0)+IF(AND(MONTH(AL38)=testData!month_7, ISNUMBER(H39)),H39,0)
+IF(AND(MONTH(AH43)=testData!month_7, ISNUMBER(D44)),D44,0)+IF(AND(MONTH(AI43)=testData!month_7, ISNUMBER(E44)),E44,0)+IF(AND(MONTH(AJ43)=testData!month_7, ISNUMBER(F44)),F44,0)+IF(AND(MONTH(AK43)=testData!month_7, ISNUMBER(G44)),G44,0)+IF(AND(MONTH(AL43)=testData!month_7, ISNUMBER(H44)),H44,0),
IF(testData!WW_first_7=C40,
IF(AND(MONTH(AH38)=testData!month_7, ISNUMBER(D40)),D40,0)+IF(AND(MONTH(AI38)=testData!month_7, ISNUMBER(E40)),E40,0)+IF(AND(MONTH(AJ38)=testData!month_7, ISNUMBER(F40)),F40,0)+IF(AND(MONTH(AK38)=testData!month_7, ISNUMBER(G40)),G40,0)+IF(AND(MONTH(AL38)=testData!month_7, ISNUMBER(H40)),H40,0)
+IF(AND(MONTH(AH43)=testData!month_7, ISNUMBER(D45)),D45,0)+IF(AND(MONTH(AI43)=testData!month_7, ISNUMBER(E45)),E45,0)+IF(AND(MONTH(AJ43)=testData!month_7, ISNUMBER(F45)),F45,0)+IF(AND(MONTH(AK43)=testData!month_7, ISNUMBER(G45)),G45,0)+IF(AND(MONTH(AL43)=testData!month_7, ISNUMBER(H45)),H45,0),
IF(AND(MONTH(AH38)=testData!month_7, ISNUMBER(D38)),D38,0)+IF(AND(MONTH(AI38)=testData!month_7, ISNUMBER(E38)),E38,0)+IF(AND(MONTH(AJ38)=testData!month_7, ISNUMBER(F38)),F38,0)+IF(AND(MONTH(AK38)=testData!month_7, ISNUMBER(G38)),G38,0)+IF(AND(MONTH(AL38)=testData!month_7, ISNUMBER(H38)),H38,0)
+IF(AND(MONTH(AH43)=testData!month_7, ISNUMBER(D43)),D43,0)+IF(AND(MONTH(AI43)=testData!month_7, ISNUMBER(E43)),E43,0)+IF(AND(MONTH(AJ43)=testData!month_7, ISNUMBER(F43)),F43,0)+IF(AND(MONTH(AK43)=testData!month_7, ISNUMBER(G43)),G43,0)+IF(AND(MONTH(AL43)=testData!month_7, ISNUMBER(H43)),H43,0)))</f>
        <v>#NAME?</v>
      </c>
      <c r="X15" s="99"/>
      <c r="Y15" s="106" t="e">
        <f t="shared" ca="1" si="1"/>
        <v>#NAME?</v>
      </c>
      <c r="Z15" s="102"/>
      <c r="AA15" s="105" t="e">
        <f ca="1">IF(testData!WW_first_7=C39, COUNTIF(D40:H43,"="&amp;TEXT(testData!VacationDay,0)), IF(testData!WW_first_7=C40, COUNTIF(D41:H44,"="&amp;TEXT(testData!VacationDay,0)), COUNTIF(D39:H42,"="&amp;TEXT(testData!VacationDay,0))))
+ IF(testData!WW_first_7=C39,
IF(AND(MONTH(AH38)=testData!month_7, D39=testData!VacationDay),1,0)+IF(AND(MONTH(AI38)=testData!month_7, E39=testData!VacationDay),1,0)+IF(AND(MONTH(AJ38)=testData!month_7, F39=testData!VacationDay),1,0)+IF(AND(MONTH(AK38)=testData!month_7, G39=testData!VacationDay),1,0)+IF(AND(MONTH(AL38)=testData!month_7, H39=testData!VacationDay),1,0)
+IF(AND(MONTH(AH43)=testData!month_7, D44=testData!VacationDay),1,0)+IF(AND(MONTH(AI43)=testData!month_7, E44=testData!VacationDay),1,0)+IF(AND(MONTH(AJ43)=testData!month_7, F44=testData!VacationDay),1,0)+IF(AND(MONTH(AK43)=testData!month_7, G44=testData!VacationDay),1,0)+IF(AND(MONTH(AL43)=testData!month_7, H44=testData!VacationDay),1,0),
IF(testData!WW_first_7=C40,
IF(AND(MONTH(AH38)=testData!month_7, D40=testData!VacationDay),1,0)+IF(AND(MONTH(AI38)=testData!month_7, E40=testData!VacationDay),1,0)+IF(AND(MONTH(AJ38)=testData!month_7, F40=testData!VacationDay),1,0)+IF(AND(MONTH(AK38)=testData!month_7, G40=testData!VacationDay),1,0)+IF(AND(MONTH(AL38)=testData!month_7, H40=testData!VacationDay),1,0)
+IF(AND(MONTH(AH43)=testData!month_7, D45=testData!VacationDay),1,0)+IF(AND(MONTH(AI43)=testData!month_7, E45=testData!VacationDay),1,0)+IF(AND(MONTH(AJ43)=testData!month_7, F45=testData!VacationDay),1,0)+IF(AND(MONTH(AK43)=testData!month_7, G45=testData!VacationDay),1,0)+IF(AND(MONTH(AL43)=testData!month_7, H45=testData!VacationDay),1,0),
IF(AND(MONTH(AH38)=testData!month_7, D38=testData!VacationDay),1,0)+IF(AND(MONTH(AI38)=testData!month_7, E38=testData!VacationDay),1,0)+IF(AND(MONTH(AJ38)=testData!month_7, F38=testData!VacationDay),1,0)+IF(AND(MONTH(AK38)=testData!month_7, G38=testData!VacationDay),1,0)+IF(AND(MONTH(AL38)=testData!month_7, H38=testData!VacationDay),1,0)
+IF(AND(MONTH(AH43)=testData!month_7, D43=testData!VacationDay),1,0)+IF(AND(MONTH(AI43)=testData!month_7, E43=testData!VacationDay),1,0)+IF(AND(MONTH(AJ43)=testData!month_7, F43=testData!VacationDay),1,0)+IF(AND(MONTH(AK43)=testData!month_7, G43=testData!VacationDay),1,0)+IF(AND(MONTH(AL43)=testData!month_7, H43=testData!VacationDay),1,0)))</f>
        <v>#NAME?</v>
      </c>
      <c r="AB15" s="101"/>
      <c r="AC15" s="106" t="e">
        <f ca="1">IF(testData!WW_first_7=C39, COUNTIF(D40:H43,"="&amp;TEXT(testData!HolidayDay,0)), IF(testData!WW_first_7=C40, COUNTIF(D41:H44,"="&amp;TEXT(testData!HolidayDay,0)), COUNTIF(D39:H42,"="&amp;TEXT(testData!HolidayDay,0))))
+ IF(testData!WW_first_7=C39,
IF(AND(MONTH(AH38)=testData!month_7, D39=testData!HolidayDay),1,0)+IF(AND(MONTH(AI38)=testData!month_7, E39=testData!HolidayDay),1,0)+IF(AND(MONTH(AJ38)=testData!month_7, F39=testData!HolidayDay),1,0)+IF(AND(MONTH(AK38)=testData!month_7, G39=testData!HolidayDay),1,0)+IF(AND(MONTH(AL38)=testData!month_7, H39=testData!HolidayDay),1,0)
+IF(AND(MONTH(AH43)=testData!month_7, D44=testData!HolidayDay),1,0)+IF(AND(MONTH(AI43)=testData!month_7, E44=testData!HolidayDay),1,0)+IF(AND(MONTH(AJ43)=testData!month_7, F44=testData!HolidayDay),1,0)+IF(AND(MONTH(AK43)=testData!month_7, G44=testData!HolidayDay),1,0)+IF(AND(MONTH(AL43)=testData!month_7, H44=testData!HolidayDay),1,0),
IF(testData!WW_first_7=C40,
IF(AND(MONTH(AH38)=testData!month_7, D40=testData!HolidayDay),1,0)+IF(AND(MONTH(AI38)=testData!month_7, E40=testData!HolidayDay),1,0)+IF(AND(MONTH(AJ38)=testData!month_7, F40=testData!HolidayDay),1,0)+IF(AND(MONTH(AK38)=testData!month_7, G40=testData!HolidayDay),1,0)+IF(AND(MONTH(AL38)=testData!month_7, H40=testData!HolidayDay),1,0)
+IF(AND(MONTH(AH43)=testData!month_7, D45=testData!HolidayDay),1,0)+IF(AND(MONTH(AI43)=testData!month_7, E45=testData!HolidayDay),1,0)+IF(AND(MONTH(AJ43)=testData!month_7, F45=testData!HolidayDay),1,0)+IF(AND(MONTH(AK43)=testData!month_7, G45=testData!HolidayDay),1,0)+IF(AND(MONTH(AL43)=testData!month_7, H45=testData!HolidayDay),1,0),
IF(AND(MONTH(AH38)=testData!month_7, D38=testData!HolidayDay),1,0)+IF(AND(MONTH(AI38)=testData!month_7, E38=testData!HolidayDay),1,0)+IF(AND(MONTH(AJ38)=testData!month_7, F38=testData!HolidayDay),1,0)+IF(AND(MONTH(AK38)=testData!month_7, G38=testData!HolidayDay),1,0)+IF(AND(MONTH(AL38)=testData!month_7, H38=testData!HolidayDay),1,0)
+IF(AND(MONTH(AH43)=testData!month_7, D43=testData!HolidayDay),1,0)+IF(AND(MONTH(AI43)=testData!month_7, E43=testData!HolidayDay),1,0)+IF(AND(MONTH(AJ43)=testData!month_7, F43=testData!HolidayDay),1,0)+IF(AND(MONTH(AK43)=testData!month_7, G43=testData!HolidayDay),1,0)+IF(AND(MONTH(AL43)=testData!month_7, H43=testData!HolidayDay),1,0)))</f>
        <v>#NAME?</v>
      </c>
      <c r="AD15" s="101"/>
      <c r="AE15" s="106" t="e">
        <f ca="1">IF(testData!WW_first_7=C39, COUNTIF(D40:H43,"="&amp;TEXT(testData!OnCallOffDay,0)), IF(testData!WW_first_7=C40, COUNTIF(D41:H44,"="&amp;TEXT(testData!OnCallOffDay,0)), COUNTIF(D39:H42,"="&amp;TEXT(testData!OnCallOffDay,0))))
+ IF(testData!WW_first_7=C39,
IF(AND(MONTH(AH38)=testData!month_7, D39=testData!OnCallOffDay),1,0)+IF(AND(MONTH(AI38)=testData!month_7, E39=testData!OnCallOffDay),1,0)+IF(AND(MONTH(AJ38)=testData!month_7, F39=testData!OnCallOffDay),1,0)+IF(AND(MONTH(AK38)=testData!month_7, G39=testData!OnCallOffDay),1,0)+IF(AND(MONTH(AL38)=testData!month_7, H39=testData!OnCallOffDay),1,0)
+IF(AND(MONTH(AH43)=testData!month_7, D44=testData!OnCallOffDay),1,0)+IF(AND(MONTH(AI43)=testData!month_7, E44=testData!OnCallOffDay),1,0)+IF(AND(MONTH(AJ43)=testData!month_7, F44=testData!OnCallOffDay),1,0)+IF(AND(MONTH(AK43)=testData!month_7, G44=testData!OnCallOffDay),1,0)+IF(AND(MONTH(AL43)=testData!month_7, H44=testData!OnCallOffDay),1,0),
IF(testData!WW_first_7=C40,
IF(AND(MONTH(AH38)=testData!month_7, D40=testData!OnCallOffDay),1,0)+IF(AND(MONTH(AI38)=testData!month_7, E40=testData!OnCallOffDay),1,0)+IF(AND(MONTH(AJ38)=testData!month_7, F40=testData!OnCallOffDay),1,0)+IF(AND(MONTH(AK38)=testData!month_7, G40=testData!OnCallOffDay),1,0)+IF(AND(MONTH(AL38)=testData!month_7, H40=testData!OnCallOffDay),1,0)
+IF(AND(MONTH(AH43)=testData!month_7, D45=testData!OnCallOffDay),1,0)+IF(AND(MONTH(AI43)=testData!month_7, E45=testData!OnCallOffDay),1,0)+IF(AND(MONTH(AJ43)=testData!month_7, F45=testData!OnCallOffDay),1,0)+IF(AND(MONTH(AK43)=testData!month_7, G45=testData!OnCallOffDay),1,0)+IF(AND(MONTH(AL43)=testData!month_7, H45=testData!OnCallOffDay),1,0),
IF(AND(MONTH(AH38)=testData!month_7, D38=testData!OnCallOffDay),1,0)+IF(AND(MONTH(AI38)=testData!month_7, E38=testData!OnCallOffDay),1,0)+IF(AND(MONTH(AJ38)=testData!month_7, F38=testData!OnCallOffDay),1,0)+IF(AND(MONTH(AK38)=testData!month_7, G38=testData!OnCallOffDay),1,0)+IF(AND(MONTH(AL38)=testData!month_7, H38=testData!OnCallOffDay),1,0)
+IF(AND(MONTH(AH43)=testData!month_7, D43=testData!OnCallOffDay),1,0)+IF(AND(MONTH(AI43)=testData!month_7, E43=testData!OnCallOffDay),1,0)+IF(AND(MONTH(AJ43)=testData!month_7, F43=testData!OnCallOffDay),1,0)+IF(AND(MONTH(AK43)=testData!month_7, G43=testData!OnCallOffDay),1,0)+IF(AND(MONTH(AL43)=testData!month_7, H43=testData!OnCallOffDay),1,0)))</f>
        <v>#NAME?</v>
      </c>
      <c r="AF15" s="102"/>
      <c r="AG15" s="98" t="e">
        <f t="shared" ca="1" si="2"/>
        <v>#NAME?</v>
      </c>
      <c r="AH15" s="99"/>
      <c r="AI15" s="134" t="e">
        <f t="shared" ca="1" si="3"/>
        <v>#NAME?</v>
      </c>
      <c r="AJ15" s="99"/>
      <c r="AK15" s="100" t="str">
        <f ca="1">IFERROR(__xludf.DUMMYFUNCTION("if(AW15="""","""",IFERROR(SPARKLINE(AW15:AX15,{""charttype"",""bar"";""max"",1;""min"",0;""color1"",""#cbe5ed"";""color2"",""#f3f3f3""}),))"),"")</f>
        <v/>
      </c>
      <c r="AL15" s="101"/>
      <c r="AM15" s="101"/>
      <c r="AN15" s="101"/>
      <c r="AO15" s="101"/>
      <c r="AP15" s="101"/>
      <c r="AQ15" s="101"/>
      <c r="AR15" s="101"/>
      <c r="AS15" s="101"/>
      <c r="AT15" s="101"/>
      <c r="AU15" s="98" t="e">
        <f t="shared" ca="1" si="4"/>
        <v>#NAME?</v>
      </c>
      <c r="AV15" s="102"/>
      <c r="AW15" s="11" t="e">
        <f t="shared" ca="1" si="5"/>
        <v>#NAME?</v>
      </c>
      <c r="AX15" s="12" t="e">
        <f t="shared" ca="1" si="6"/>
        <v>#NAME?</v>
      </c>
    </row>
    <row r="16" spans="1:50" ht="18" customHeight="1">
      <c r="A16" s="3">
        <f t="shared" si="8"/>
        <v>2</v>
      </c>
      <c r="B16" s="23" t="s">
        <v>21</v>
      </c>
      <c r="C16" s="24" t="e">
        <f t="shared" ca="1" si="15"/>
        <v>#NAME?</v>
      </c>
      <c r="D16" s="25"/>
      <c r="E16" s="32"/>
      <c r="F16" s="33">
        <v>1</v>
      </c>
      <c r="G16" s="28">
        <v>1</v>
      </c>
      <c r="H16" s="34"/>
      <c r="I16" s="35"/>
      <c r="J16" s="35"/>
      <c r="K16" s="29" t="e">
        <f t="shared" si="9"/>
        <v>#REF!</v>
      </c>
      <c r="L16" s="29" t="e">
        <f t="shared" si="10"/>
        <v>#REF!</v>
      </c>
      <c r="M16" s="29" t="e">
        <f t="shared" si="11"/>
        <v>#REF!</v>
      </c>
      <c r="N16" s="30" t="e">
        <f t="shared" si="12"/>
        <v>#REF!</v>
      </c>
      <c r="O16" s="82" t="e">
        <f t="shared" si="13"/>
        <v>#REF!</v>
      </c>
      <c r="P16" s="82" t="e">
        <f t="shared" si="14"/>
        <v>#REF!</v>
      </c>
      <c r="Q16" s="94"/>
      <c r="R16" s="103" t="e">
        <f t="shared" ca="1" si="7"/>
        <v>#NAME?</v>
      </c>
      <c r="S16" s="104"/>
      <c r="T16" s="104"/>
      <c r="U16" s="135" t="e">
        <f t="shared" ca="1" si="0"/>
        <v>#NAME?</v>
      </c>
      <c r="V16" s="136"/>
      <c r="W16" s="137" t="e">
        <f ca="1">IF(testData!WW_first_8=C44, COUNTIF(D45:H48,"&gt;0"), IF(testData!WW_first_8=C45, COUNTIF(D46:H49,"&gt;0"), COUNTIF(D44:H47,"&gt;0")))
+ IF(testData!WW_first_8=C44,
IF(AND(MONTH(AP38)=testData!month_8, ISNUMBER(D44)),D44,0)+IF(AND(MONTH(AQ38)=testData!month_8, ISNUMBER(E44)),E44,0)+IF(AND(MONTH(AR38)=testData!month_8, ISNUMBER(F44)),F44,0)+IF(AND(MONTH(AS38)=testData!month_8, ISNUMBER(G44)),G44,0)+IF(AND(MONTH(AT38)=testData!month_8, ISNUMBER(H44)),H44,0)
+IF(AND(MONTH(AP43)=testData!month_8, ISNUMBER(D49)),D49,0)+IF(AND(MONTH(AQ43)=testData!month_8, ISNUMBER(E49)),E49,0)+IF(AND(MONTH(AR43)=testData!month_8, ISNUMBER(F49)),F49,0)+IF(AND(MONTH(AS43)=testData!month_8, ISNUMBER(G49)),G49,0)+IF(AND(MONTH(AT43)=testData!month_8, ISNUMBER(H49)),H49,0),
IF(testData!WW_first_8=C45,
IF(AND(MONTH(AP38)=testData!month_8, ISNUMBER(D45)),D45,0)+IF(AND(MONTH(AQ38)=testData!month_8, ISNUMBER(E45)),E45,0)+IF(AND(MONTH(AR38)=testData!month_8, ISNUMBER(F45)),F45,0)+IF(AND(MONTH(AS38)=testData!month_8, ISNUMBER(G45)),G45,0)+IF(AND(MONTH(AT38)=testData!month_8, ISNUMBER(H45)),H45,0)
+IF(AND(MONTH(AP43)=testData!month_8, ISNUMBER(D50)),D50,0)+IF(AND(MONTH(AQ43)=testData!month_8, ISNUMBER(E50)),E50,0)+IF(AND(MONTH(AR43)=testData!month_8, ISNUMBER(F50)),F50,0)+IF(AND(MONTH(AS43)=testData!month_8, ISNUMBER(G50)),G50,0)+IF(AND(MONTH(AT43)=testData!month_8, ISNUMBER(H50)),H50,0),
IF(AND(MONTH(AP38)=testData!month_8, ISNUMBER(D43)),D43,0)+IF(AND(MONTH(AQ38)=testData!month_8, ISNUMBER(E43)),E43,0)+IF(AND(MONTH(AR38)=testData!month_8, ISNUMBER(F43)),F43,0)+IF(AND(MONTH(AS38)=testData!month_8, ISNUMBER(G43)),G43,0)+IF(AND(MONTH(AT38)=testData!month_8, ISNUMBER(H43)),H43,0)
+IF(AND(MONTH(AP43)=testData!month_8, ISNUMBER(D48)),D48,0)+IF(AND(MONTH(AQ43)=testData!month_8, ISNUMBER(E48)),E48,0)+IF(AND(MONTH(AR43)=testData!month_8, ISNUMBER(F48)),F48,0)+IF(AND(MONTH(AS43)=testData!month_8, ISNUMBER(G48)),G48,0)+IF(AND(MONTH(AT43)=testData!month_8, ISNUMBER(H48)),H48,0)))</f>
        <v>#NAME?</v>
      </c>
      <c r="X16" s="99"/>
      <c r="Y16" s="106" t="e">
        <f t="shared" ca="1" si="1"/>
        <v>#NAME?</v>
      </c>
      <c r="Z16" s="102"/>
      <c r="AA16" s="105" t="e">
        <f ca="1">IF(testData!WW_first_8=C44, COUNTIF(D45:H48,"="&amp;TEXT(testData!VacationDay,0)), IF(testData!WW_first_8=C45, COUNTIF(D46:H49,"="&amp;TEXT(testData!VacationDay,0)), COUNTIF(D44:H47,"="&amp;TEXT(testData!VacationDay,0))))
+ IF(testData!WW_first_8=C44,
IF(AND(MONTH(AP38)=testData!month_8, D44=testData!VacationDay),1,0)+IF(AND(MONTH(AQ38)=testData!month_8, E44=testData!VacationDay),1,0)+IF(AND(MONTH(AR38)=testData!month_8, F44=testData!VacationDay),1,0)+IF(AND(MONTH(AS38)=testData!month_8, G44=testData!VacationDay),1,0)+IF(AND(MONTH(AT38)=testData!month_8, H44=testData!VacationDay),1,0)
+IF(AND(MONTH(AP43)=testData!month_8, D49=testData!VacationDay),1,0)+IF(AND(MONTH(AQ43)=testData!month_8, E49=testData!VacationDay),1,0)+IF(AND(MONTH(AR43)=testData!month_8, F49=testData!VacationDay),1,0)+IF(AND(MONTH(AS43)=testData!month_8, G49=testData!VacationDay),1,0)+IF(AND(MONTH(AT43)=testData!month_8, H49=testData!VacationDay),1,0),
IF(testData!WW_first_8=C45,
IF(AND(MONTH(AP38)=testData!month_8, D45=testData!VacationDay),1,0)+IF(AND(MONTH(AQ38)=testData!month_8, E45=testData!VacationDay),1,0)+IF(AND(MONTH(AR38)=testData!month_8, F45=testData!VacationDay),1,0)+IF(AND(MONTH(AS38)=testData!month_8, G45=testData!VacationDay),1,0)+IF(AND(MONTH(AT38)=testData!month_8, H45=testData!VacationDay),1,0)
+IF(AND(MONTH(AP43)=testData!month_8, D50=testData!VacationDay),1,0)+IF(AND(MONTH(AQ43)=testData!month_8, E50=testData!VacationDay),1,0)+IF(AND(MONTH(AR43)=testData!month_8, F50=testData!VacationDay),1,0)+IF(AND(MONTH(AS43)=testData!month_8, G50=testData!VacationDay),1,0)+IF(AND(MONTH(AT43)=testData!month_8, H50=testData!VacationDay),1,0),
IF(AND(MONTH(AP38)=testData!month_8, D43=testData!VacationDay),1,0)+IF(AND(MONTH(AQ38)=testData!month_8, E43=testData!VacationDay),1,0)+IF(AND(MONTH(AR38)=testData!month_8, F43=testData!VacationDay),1,0)+IF(AND(MONTH(AS38)=testData!month_8, G43=testData!VacationDay),1,0)+IF(AND(MONTH(AT38)=testData!month_8, H43=testData!VacationDay),1,0)
+IF(AND(MONTH(AP43)=testData!month_8, D48=testData!VacationDay),1,0)+IF(AND(MONTH(AQ43)=testData!month_8, E48=testData!VacationDay),1,0)+IF(AND(MONTH(AR43)=testData!month_8, F48=testData!VacationDay),1,0)+IF(AND(MONTH(AS43)=testData!month_8, G48=testData!VacationDay),1,0)+IF(AND(MONTH(AT43)=testData!month_8, H48=testData!VacationDay),1,0)))</f>
        <v>#NAME?</v>
      </c>
      <c r="AB16" s="101"/>
      <c r="AC16" s="106" t="e">
        <f ca="1">IF(testData!WW_first_8=C44, COUNTIF(D45:H48,"="&amp;TEXT(testData!HolidayDay,0)), IF(testData!WW_first_8=C45, COUNTIF(D46:H49,"="&amp;TEXT(testData!HolidayDay,0)), COUNTIF(D44:H47,"="&amp;TEXT(testData!HolidayDay,0))))
+ IF(testData!WW_first_8=C44,
IF(AND(MONTH(AP38)=testData!month_8, D44=testData!HolidayDay),1,0)+IF(AND(MONTH(AQ38)=testData!month_8, E44=testData!HolidayDay),1,0)+IF(AND(MONTH(AR38)=testData!month_8, F44=testData!HolidayDay),1,0)+IF(AND(MONTH(AS38)=testData!month_8, G44=testData!HolidayDay),1,0)+IF(AND(MONTH(AT38)=testData!month_8, H44=testData!HolidayDay),1,0)
+IF(AND(MONTH(AP43)=testData!month_8, D49=testData!HolidayDay),1,0)+IF(AND(MONTH(AQ43)=testData!month_8, E49=testData!HolidayDay),1,0)+IF(AND(MONTH(AR43)=testData!month_8, F49=testData!HolidayDay),1,0)+IF(AND(MONTH(AS43)=testData!month_8, G49=testData!HolidayDay),1,0)+IF(AND(MONTH(AT43)=testData!month_8, H49=testData!HolidayDay),1,0),
IF(testData!WW_first_8=C45,
IF(AND(MONTH(AP38)=testData!month_8, D45=testData!HolidayDay),1,0)+IF(AND(MONTH(AQ38)=testData!month_8, E45=testData!HolidayDay),1,0)+IF(AND(MONTH(AR38)=testData!month_8, F45=testData!HolidayDay),1,0)+IF(AND(MONTH(AS38)=testData!month_8, G45=testData!HolidayDay),1,0)+IF(AND(MONTH(AT38)=testData!month_8, H45=testData!HolidayDay),1,0)
+IF(AND(MONTH(AP43)=testData!month_8, D50=testData!HolidayDay),1,0)+IF(AND(MONTH(AQ43)=testData!month_8, E50=testData!HolidayDay),1,0)+IF(AND(MONTH(AR43)=testData!month_8, F50=testData!HolidayDay),1,0)+IF(AND(MONTH(AS43)=testData!month_8, G50=testData!HolidayDay),1,0)+IF(AND(MONTH(AT43)=testData!month_8, H50=testData!HolidayDay),1,0),
IF(AND(MONTH(AP38)=testData!month_8, D43=testData!HolidayDay),1,0)+IF(AND(MONTH(AQ38)=testData!month_8, E43=testData!HolidayDay),1,0)+IF(AND(MONTH(AR38)=testData!month_8, F43=testData!HolidayDay),1,0)+IF(AND(MONTH(AS38)=testData!month_8, G43=testData!HolidayDay),1,0)+IF(AND(MONTH(AT38)=testData!month_8, H43=testData!HolidayDay),1,0)
+IF(AND(MONTH(AP43)=testData!month_8, D48=testData!HolidayDay),1,0)+IF(AND(MONTH(AQ43)=testData!month_8, E48=testData!HolidayDay),1,0)+IF(AND(MONTH(AR43)=testData!month_8, F48=testData!HolidayDay),1,0)+IF(AND(MONTH(AS43)=testData!month_8, G48=testData!HolidayDay),1,0)+IF(AND(MONTH(AT43)=testData!month_8, H48=testData!HolidayDay),1,0)))</f>
        <v>#NAME?</v>
      </c>
      <c r="AD16" s="101"/>
      <c r="AE16" s="106" t="e">
        <f ca="1">IF(testData!WW_first_8=C44, COUNTIF(D45:H48,"="&amp;TEXT(testData!OnCallOffDay,0)), IF(testData!WW_first_8=C45, COUNTIF(D46:H49,"="&amp;TEXT(testData!OnCallOffDay,0)), COUNTIF(D44:H47,"="&amp;TEXT(testData!OnCallOffDay,0))))
+ IF(testData!WW_first_8=C44,
IF(AND(MONTH(AP38)=testData!month_8, D44=testData!OnCallOffDay),1,0)+IF(AND(MONTH(AQ38)=testData!month_8, E44=testData!OnCallOffDay),1,0)+IF(AND(MONTH(AR38)=testData!month_8, F44=testData!OnCallOffDay),1,0)+IF(AND(MONTH(AS38)=testData!month_8, G44=testData!OnCallOffDay),1,0)+IF(AND(MONTH(AT38)=testData!month_8, H44=testData!OnCallOffDay),1,0)
+IF(AND(MONTH(AP43)=testData!month_8, D49=testData!OnCallOffDay),1,0)+IF(AND(MONTH(AQ43)=testData!month_8, E49=testData!OnCallOffDay),1,0)+IF(AND(MONTH(AR43)=testData!month_8, F49=testData!OnCallOffDay),1,0)+IF(AND(MONTH(AS43)=testData!month_8, G49=testData!OnCallOffDay),1,0)+IF(AND(MONTH(AT43)=testData!month_8, H49=testData!OnCallOffDay),1,0),
IF(testData!WW_first_8=C45,
IF(AND(MONTH(AP38)=testData!month_8, D45=testData!OnCallOffDay),1,0)+IF(AND(MONTH(AQ38)=testData!month_8, E45=testData!OnCallOffDay),1,0)+IF(AND(MONTH(AR38)=testData!month_8, F45=testData!OnCallOffDay),1,0)+IF(AND(MONTH(AS38)=testData!month_8, G45=testData!OnCallOffDay),1,0)+IF(AND(MONTH(AT38)=testData!month_8, H45=testData!OnCallOffDay),1,0)
+IF(AND(MONTH(AP43)=testData!month_8, D50=testData!OnCallOffDay),1,0)+IF(AND(MONTH(AQ43)=testData!month_8, E50=testData!OnCallOffDay),1,0)+IF(AND(MONTH(AR43)=testData!month_8, F50=testData!OnCallOffDay),1,0)+IF(AND(MONTH(AS43)=testData!month_8, G50=testData!OnCallOffDay),1,0)+IF(AND(MONTH(AT43)=testData!month_8, H50=testData!OnCallOffDay),1,0),
IF(AND(MONTH(AP38)=testData!month_8, D43=testData!OnCallOffDay),1,0)+IF(AND(MONTH(AQ38)=testData!month_8, E43=testData!OnCallOffDay),1,0)+IF(AND(MONTH(AR38)=testData!month_8, F43=testData!OnCallOffDay),1,0)+IF(AND(MONTH(AS38)=testData!month_8, G43=testData!OnCallOffDay),1,0)+IF(AND(MONTH(AT38)=testData!month_8, H43=testData!OnCallOffDay),1,0)
+IF(AND(MONTH(AP43)=testData!month_8, D48=testData!OnCallOffDay),1,0)+IF(AND(MONTH(AQ43)=testData!month_8, E48=testData!OnCallOffDay),1,0)+IF(AND(MONTH(AR43)=testData!month_8, F48=testData!OnCallOffDay),1,0)+IF(AND(MONTH(AS43)=testData!month_8, G48=testData!OnCallOffDay),1,0)+IF(AND(MONTH(AT43)=testData!month_8, H48=testData!OnCallOffDay),1,0)))</f>
        <v>#NAME?</v>
      </c>
      <c r="AF16" s="102"/>
      <c r="AG16" s="98" t="e">
        <f t="shared" ca="1" si="2"/>
        <v>#NAME?</v>
      </c>
      <c r="AH16" s="99"/>
      <c r="AI16" s="134" t="e">
        <f t="shared" ca="1" si="3"/>
        <v>#NAME?</v>
      </c>
      <c r="AJ16" s="99"/>
      <c r="AK16" s="100" t="str">
        <f ca="1">IFERROR(__xludf.DUMMYFUNCTION("if(AW16="""","""",IFERROR(SPARKLINE(AW16:AX16,{""charttype"",""bar"";""max"",1;""min"",0;""color1"",""#cbe5ed"";""color2"",""#f3f3f3""}),))"),"")</f>
        <v/>
      </c>
      <c r="AL16" s="101"/>
      <c r="AM16" s="101"/>
      <c r="AN16" s="101"/>
      <c r="AO16" s="101"/>
      <c r="AP16" s="101"/>
      <c r="AQ16" s="101"/>
      <c r="AR16" s="101"/>
      <c r="AS16" s="101"/>
      <c r="AT16" s="101"/>
      <c r="AU16" s="98" t="e">
        <f t="shared" ca="1" si="4"/>
        <v>#NAME?</v>
      </c>
      <c r="AV16" s="102"/>
      <c r="AW16" s="11" t="e">
        <f t="shared" ca="1" si="5"/>
        <v>#NAME?</v>
      </c>
      <c r="AX16" s="12" t="e">
        <f t="shared" ca="1" si="6"/>
        <v>#NAME?</v>
      </c>
    </row>
    <row r="17" spans="1:50" ht="18" customHeight="1">
      <c r="A17" s="3">
        <f t="shared" si="8"/>
        <v>3</v>
      </c>
      <c r="B17" s="38" t="s">
        <v>21</v>
      </c>
      <c r="C17" s="39" t="e">
        <f t="shared" ca="1" si="15"/>
        <v>#NAME?</v>
      </c>
      <c r="D17" s="25">
        <v>1</v>
      </c>
      <c r="E17" s="32"/>
      <c r="F17" s="33">
        <v>1</v>
      </c>
      <c r="G17" s="28">
        <v>1</v>
      </c>
      <c r="H17" s="34"/>
      <c r="I17" s="2"/>
      <c r="J17" s="2"/>
      <c r="K17" s="29" t="e">
        <f t="shared" si="9"/>
        <v>#REF!</v>
      </c>
      <c r="L17" s="29" t="e">
        <f t="shared" si="10"/>
        <v>#REF!</v>
      </c>
      <c r="M17" s="29" t="e">
        <f t="shared" si="11"/>
        <v>#REF!</v>
      </c>
      <c r="N17" s="30" t="e">
        <f t="shared" si="12"/>
        <v>#REF!</v>
      </c>
      <c r="O17" s="82" t="e">
        <f t="shared" si="13"/>
        <v>#REF!</v>
      </c>
      <c r="P17" s="82" t="e">
        <f t="shared" si="14"/>
        <v>#REF!</v>
      </c>
      <c r="Q17" s="94"/>
      <c r="R17" s="103" t="e">
        <f t="shared" ca="1" si="7"/>
        <v>#NAME?</v>
      </c>
      <c r="S17" s="104"/>
      <c r="T17" s="104"/>
      <c r="U17" s="135" t="e">
        <f t="shared" ca="1" si="0"/>
        <v>#NAME?</v>
      </c>
      <c r="V17" s="136"/>
      <c r="W17" s="137" t="e">
        <f ca="1">IF(testData!WW_first_9=C48, COUNTIF(D49:H52,"&gt;0"), IF(testData!WW_first_9=C49, COUNTIF(D50:H53,"&gt;0"), COUNTIF(D48:H51,"&gt;0")))
+ IF(testData!WW_first_9=C48,
IF(AND(MONTH(R49)=testData!month_9, ISNUMBER(D48)),D48,0)+IF(AND(MONTH(S49)=testData!month_9, ISNUMBER(E48)),E48,0)+IF(AND(MONTH(T49)=testData!month_9, ISNUMBER(F48)),F48,0)+IF(AND(MONTH(U49)=testData!month_9, ISNUMBER(G48)),G48,0)+IF(AND(MONTH(V49)=testData!month_9, ISNUMBER(H48)),H48,0)
+IF(AND(MONTH(R54)=testData!month_9, ISNUMBER(D53)),D53,0)+IF(AND(MONTH(S54)=testData!month_9, ISNUMBER(E53)),E53,0)+IF(AND(MONTH(T54)=testData!month_9, ISNUMBER(F53)),F53,0)+IF(AND(MONTH(U54)=testData!month_9, ISNUMBER(G53)),G53,0)+IF(AND(MONTH(V54)=testData!month_9, ISNUMBER(H53)),H53,0),
IF(testData!WW_first_9=C49,
IF(AND(MONTH(R49)=testData!month_9, ISNUMBER(D49)),D49,0)+IF(AND(MONTH(S49)=testData!month_9, ISNUMBER(E49)),E49,0)+IF(AND(MONTH(T49)=testData!month_9, ISNUMBER(F49)),F49,0)+IF(AND(MONTH(U49)=testData!month_9, ISNUMBER(G49)),G49,0)+IF(AND(MONTH(V49)=testData!month_9, ISNUMBER(H49)),H49,0)
+IF(AND(MONTH(R54)=testData!month_9, ISNUMBER(D54)),D54,0)+IF(AND(MONTH(S54)=testData!month_9, ISNUMBER(E54)),E54,0)+IF(AND(MONTH(T54)=testData!month_9, ISNUMBER(F54)),F54,0)+IF(AND(MONTH(U54)=testData!month_9, ISNUMBER(G54)),G54,0)+IF(AND(MONTH(V54)=testData!month_9, ISNUMBER(H54)),H54,0),
IF(AND(MONTH(R49)=testData!month_9, ISNUMBER(D47)),D47,0)+IF(AND(MONTH(S49)=testData!month_9, ISNUMBER(E47)),E47,0)+IF(AND(MONTH(T49)=testData!month_9, ISNUMBER(F47)),F47,0)+IF(AND(MONTH(U49)=testData!month_9, ISNUMBER(G47)),G47,0)+IF(AND(MONTH(V49)=testData!month_9, ISNUMBER(H47)),H47,0)
+IF(AND(MONTH(R54)=testData!month_9, ISNUMBER(D52)),D52,0)+IF(AND(MONTH(S54)=testData!month_9, ISNUMBER(E52)),E52,0)+IF(AND(MONTH(T54)=testData!month_9, ISNUMBER(F52)),F52,0)+IF(AND(MONTH(U54)=testData!month_9, ISNUMBER(G52)),G52,0)+IF(AND(MONTH(V54)=testData!month_9, ISNUMBER(H52)),H52,0)))</f>
        <v>#NAME?</v>
      </c>
      <c r="X17" s="99"/>
      <c r="Y17" s="106" t="e">
        <f t="shared" ca="1" si="1"/>
        <v>#NAME?</v>
      </c>
      <c r="Z17" s="102"/>
      <c r="AA17" s="105" t="e">
        <f ca="1">IF(testData!WW_first_9=C48, COUNTIF(D49:H52,"="&amp;TEXT(testData!VacationDay,0)), IF(testData!WW_first_9=C49, COUNTIF(D50:H53,"="&amp;TEXT(testData!VacationDay,0)), COUNTIF(D48:H51,"="&amp;TEXT(testData!VacationDay,0))))
+ IF(testData!WW_first_9=C48,
IF(AND(MONTH(R49)=testData!month_9, D48=testData!VacationDay),1,0)+IF(AND(MONTH(S49)=testData!month_9, E48=testData!VacationDay),1,0)+IF(AND(MONTH(T49)=testData!month_9, F48=testData!VacationDay),1,0)+IF(AND(MONTH(U49)=testData!month_9, G48=testData!VacationDay),1,0)+IF(AND(MONTH(V49)=testData!month_9, H48=testData!VacationDay),1,0)
+IF(AND(MONTH(R54)=testData!month_9, D53=testData!VacationDay),1,0)+IF(AND(MONTH(S54)=testData!month_9, E53=testData!VacationDay),1,0)+IF(AND(MONTH(T54)=testData!month_9, F53=testData!VacationDay),1,0)+IF(AND(MONTH(U54)=testData!month_9, G53=testData!VacationDay),1,0)+IF(AND(MONTH(V54)=testData!month_9, H53=testData!VacationDay),1,0),
IF(testData!WW_first_9=C49,
IF(AND(MONTH(R49)=testData!month_9, D49=testData!VacationDay),1,0)+IF(AND(MONTH(S49)=testData!month_9, E49=testData!VacationDay),1,0)+IF(AND(MONTH(T49)=testData!month_9, F49=testData!VacationDay),1,0)+IF(AND(MONTH(U49)=testData!month_9, G49=testData!VacationDay),1,0)+IF(AND(MONTH(V49)=testData!month_9, H49=testData!VacationDay),1,0)
+IF(AND(MONTH(R54)=testData!month_9, D54=testData!VacationDay),1,0)+IF(AND(MONTH(S54)=testData!month_9, E54=testData!VacationDay),1,0)+IF(AND(MONTH(T54)=testData!month_9, F54=testData!VacationDay),1,0)+IF(AND(MONTH(U54)=testData!month_9, G54=testData!VacationDay),1,0)+IF(AND(MONTH(V54)=testData!month_9, H54=testData!VacationDay),1,0),
IF(AND(MONTH(R49)=testData!month_9, D47=testData!VacationDay),1,0)+IF(AND(MONTH(S49)=testData!month_9, E47=testData!VacationDay),1,0)+IF(AND(MONTH(T49)=testData!month_9, F47=testData!VacationDay),1,0)+IF(AND(MONTH(U49)=testData!month_9, G47=testData!VacationDay),1,0)+IF(AND(MONTH(V49)=testData!month_9, H47=testData!VacationDay),1,0)
+IF(AND(MONTH(R54)=testData!month_9, D52=testData!VacationDay),1,0)+IF(AND(MONTH(S54)=testData!month_9, E52=testData!VacationDay),1,0)+IF(AND(MONTH(T54)=testData!month_9, F52=testData!VacationDay),1,0)+IF(AND(MONTH(U54)=testData!month_9, G52=testData!VacationDay),1,0)+IF(AND(MONTH(V54)=testData!month_9, H52=testData!VacationDay),1,0)))</f>
        <v>#NAME?</v>
      </c>
      <c r="AB17" s="101"/>
      <c r="AC17" s="106" t="e">
        <f ca="1">IF(testData!WW_first_9=C48, COUNTIF(D49:H52,"="&amp;TEXT(testData!HolidayDay,0)), IF(testData!WW_first_9=C49, COUNTIF(D50:H53,"="&amp;TEXT(testData!HolidayDay,0)), COUNTIF(D48:H51,"="&amp;TEXT(testData!HolidayDay,0))))
+ IF(testData!WW_first_9=C48,
IF(AND(MONTH(R49)=testData!month_9, D48=testData!HolidayDay),1,0)+IF(AND(MONTH(S49)=testData!month_9, E48=testData!HolidayDay),1,0)+IF(AND(MONTH(T49)=testData!month_9, F48=testData!HolidayDay),1,0)+IF(AND(MONTH(U49)=testData!month_9, G48=testData!HolidayDay),1,0)+IF(AND(MONTH(V49)=testData!month_9, H48=testData!HolidayDay),1,0)
+IF(AND(MONTH(R54)=testData!month_9, D53=testData!HolidayDay),1,0)+IF(AND(MONTH(S54)=testData!month_9, E53=testData!HolidayDay),1,0)+IF(AND(MONTH(T54)=testData!month_9, F53=testData!HolidayDay),1,0)+IF(AND(MONTH(U54)=testData!month_9, G53=testData!HolidayDay),1,0)+IF(AND(MONTH(V54)=testData!month_9, H53=testData!HolidayDay),1,0),
IF(testData!WW_first_9=C49,
IF(AND(MONTH(R49)=testData!month_9, D49=testData!HolidayDay),1,0)+IF(AND(MONTH(S49)=testData!month_9, E49=testData!HolidayDay),1,0)+IF(AND(MONTH(T49)=testData!month_9, F49=testData!HolidayDay),1,0)+IF(AND(MONTH(U49)=testData!month_9, G49=testData!HolidayDay),1,0)+IF(AND(MONTH(V49)=testData!month_9, H49=testData!HolidayDay),1,0)
+IF(AND(MONTH(R54)=testData!month_9, D54=testData!HolidayDay),1,0)+IF(AND(MONTH(S54)=testData!month_9, E54=testData!HolidayDay),1,0)+IF(AND(MONTH(T54)=testData!month_9, F54=testData!HolidayDay),1,0)+IF(AND(MONTH(U54)=testData!month_9, G54=testData!HolidayDay),1,0)+IF(AND(MONTH(V54)=testData!month_9, H54=testData!HolidayDay),1,0),
IF(AND(MONTH(R49)=testData!month_9, D47=testData!HolidayDay),1,0)+IF(AND(MONTH(S49)=testData!month_9, E47=testData!HolidayDay),1,0)+IF(AND(MONTH(T49)=testData!month_9, F47=testData!HolidayDay),1,0)+IF(AND(MONTH(U49)=testData!month_9, G47=testData!HolidayDay),1,0)+IF(AND(MONTH(V49)=testData!month_9, H47=testData!HolidayDay),1,0)
+IF(AND(MONTH(R54)=testData!month_9, D52=testData!HolidayDay),1,0)+IF(AND(MONTH(S54)=testData!month_9, E52=testData!HolidayDay),1,0)+IF(AND(MONTH(T54)=testData!month_9, F52=testData!HolidayDay),1,0)+IF(AND(MONTH(U54)=testData!month_9, G52=testData!HolidayDay),1,0)+IF(AND(MONTH(V54)=testData!month_9, H52=testData!HolidayDay),1,0)))</f>
        <v>#NAME?</v>
      </c>
      <c r="AD17" s="101"/>
      <c r="AE17" s="106" t="e">
        <f ca="1">IF(testData!WW_first_9=C48, COUNTIF(D49:H52,"="&amp;TEXT(testData!OnCallOffDay,0)), IF(testData!WW_first_9=C49, COUNTIF(D50:H53,"="&amp;TEXT(testData!OnCallOffDay,0)), COUNTIF(D48:H51,"="&amp;TEXT(testData!OnCallOffDay,0))))
+ IF(testData!WW_first_9=C48,
IF(AND(MONTH(R49)=testData!month_9, D48=testData!OnCallOffDay),1,0)+IF(AND(MONTH(S49)=testData!month_9, E48=testData!OnCallOffDay),1,0)+IF(AND(MONTH(T49)=testData!month_9, F48=testData!OnCallOffDay),1,0)+IF(AND(MONTH(U49)=testData!month_9, G48=testData!OnCallOffDay),1,0)+IF(AND(MONTH(V49)=testData!month_9, H48=testData!OnCallOffDay),1,0)
+IF(AND(MONTH(R54)=testData!month_9, D53=testData!OnCallOffDay),1,0)+IF(AND(MONTH(S54)=testData!month_9, E53=testData!OnCallOffDay),1,0)+IF(AND(MONTH(T54)=testData!month_9, F53=testData!OnCallOffDay),1,0)+IF(AND(MONTH(U54)=testData!month_9, G53=testData!OnCallOffDay),1,0)+IF(AND(MONTH(V54)=testData!month_9, H53=testData!OnCallOffDay),1,0),
IF(testData!WW_first_9=C49,
IF(AND(MONTH(R49)=testData!month_9, D49=testData!OnCallOffDay),1,0)+IF(AND(MONTH(S49)=testData!month_9, E49=testData!OnCallOffDay),1,0)+IF(AND(MONTH(T49)=testData!month_9, F49=testData!OnCallOffDay),1,0)+IF(AND(MONTH(U49)=testData!month_9, G49=testData!OnCallOffDay),1,0)+IF(AND(MONTH(V49)=testData!month_9, H49=testData!OnCallOffDay),1,0)
+IF(AND(MONTH(R54)=testData!month_9, D54=testData!OnCallOffDay),1,0)+IF(AND(MONTH(S54)=testData!month_9, E54=testData!OnCallOffDay),1,0)+IF(AND(MONTH(T54)=testData!month_9, F54=testData!OnCallOffDay),1,0)+IF(AND(MONTH(U54)=testData!month_9, G54=testData!OnCallOffDay),1,0)+IF(AND(MONTH(V54)=testData!month_9, H54=testData!OnCallOffDay),1,0),
IF(AND(MONTH(R49)=testData!month_9, D47=testData!OnCallOffDay),1,0)+IF(AND(MONTH(S49)=testData!month_9, E47=testData!OnCallOffDay),1,0)+IF(AND(MONTH(T49)=testData!month_9, F47=testData!OnCallOffDay),1,0)+IF(AND(MONTH(U49)=testData!month_9, G47=testData!OnCallOffDay),1,0)+IF(AND(MONTH(V49)=testData!month_9, H47=testData!OnCallOffDay),1,0)
+IF(AND(MONTH(R54)=testData!month_9, D52=testData!OnCallOffDay),1,0)+IF(AND(MONTH(S54)=testData!month_9, E52=testData!OnCallOffDay),1,0)+IF(AND(MONTH(T54)=testData!month_9, F52=testData!OnCallOffDay),1,0)+IF(AND(MONTH(U54)=testData!month_9, G52=testData!OnCallOffDay),1,0)+IF(AND(MONTH(V54)=testData!month_9, H52=testData!OnCallOffDay),1,0)))</f>
        <v>#NAME?</v>
      </c>
      <c r="AF17" s="102"/>
      <c r="AG17" s="98" t="e">
        <f t="shared" ca="1" si="2"/>
        <v>#NAME?</v>
      </c>
      <c r="AH17" s="99"/>
      <c r="AI17" s="134" t="e">
        <f t="shared" ca="1" si="3"/>
        <v>#NAME?</v>
      </c>
      <c r="AJ17" s="99"/>
      <c r="AK17" s="100" t="str">
        <f ca="1">IFERROR(__xludf.DUMMYFUNCTION("if(AW17="""","""",IFERROR(SPARKLINE(AW17:AX17,{""charttype"",""bar"";""max"",1;""min"",0;""color1"",""#cbe5ed"";""color2"",""#f3f3f3""}),))"),"")</f>
        <v/>
      </c>
      <c r="AL17" s="101"/>
      <c r="AM17" s="101"/>
      <c r="AN17" s="101"/>
      <c r="AO17" s="101"/>
      <c r="AP17" s="101"/>
      <c r="AQ17" s="101"/>
      <c r="AR17" s="101"/>
      <c r="AS17" s="101"/>
      <c r="AT17" s="101"/>
      <c r="AU17" s="98" t="e">
        <f t="shared" ca="1" si="4"/>
        <v>#NAME?</v>
      </c>
      <c r="AV17" s="102"/>
      <c r="AW17" s="11" t="e">
        <f t="shared" ca="1" si="5"/>
        <v>#NAME?</v>
      </c>
      <c r="AX17" s="12" t="e">
        <f t="shared" ca="1" si="6"/>
        <v>#NAME?</v>
      </c>
    </row>
    <row r="18" spans="1:50" ht="18" customHeight="1">
      <c r="A18" s="3">
        <f t="shared" si="8"/>
        <v>3</v>
      </c>
      <c r="B18" s="23" t="s">
        <v>21</v>
      </c>
      <c r="C18" s="24" t="e">
        <f t="shared" ca="1" si="15"/>
        <v>#NAME?</v>
      </c>
      <c r="D18" s="25"/>
      <c r="E18" s="32"/>
      <c r="F18" s="33">
        <v>1</v>
      </c>
      <c r="G18" s="28">
        <v>1</v>
      </c>
      <c r="H18" s="34">
        <v>1</v>
      </c>
      <c r="I18" s="2"/>
      <c r="J18" s="2"/>
      <c r="K18" s="29" t="e">
        <f t="shared" si="9"/>
        <v>#REF!</v>
      </c>
      <c r="L18" s="29" t="e">
        <f t="shared" si="10"/>
        <v>#REF!</v>
      </c>
      <c r="M18" s="29" t="e">
        <f t="shared" si="11"/>
        <v>#REF!</v>
      </c>
      <c r="N18" s="30" t="e">
        <f t="shared" si="12"/>
        <v>#REF!</v>
      </c>
      <c r="O18" s="82" t="e">
        <f t="shared" si="13"/>
        <v>#REF!</v>
      </c>
      <c r="P18" s="82" t="e">
        <f t="shared" si="14"/>
        <v>#REF!</v>
      </c>
      <c r="Q18" s="94"/>
      <c r="R18" s="103" t="e">
        <f t="shared" ca="1" si="7"/>
        <v>#NAME?</v>
      </c>
      <c r="S18" s="104"/>
      <c r="T18" s="104"/>
      <c r="U18" s="135" t="e">
        <f t="shared" ca="1" si="0"/>
        <v>#NAME?</v>
      </c>
      <c r="V18" s="136"/>
      <c r="W18" s="137" t="e">
        <f ca="1">IF(testData!WW_first_10=C53, COUNTIF(D54:H57,"&gt;0"), IF(testData!WW_first_10=C54, COUNTIF(D55:H58,"&gt;0"), COUNTIF(D53:H56,"&gt;0")))
+ IF(testData!WW_first_10=C53,
IF(AND(MONTH(Z49)=testData!month_10, ISNUMBER(D53)),D53,0)+IF(AND(MONTH(AA49)=testData!month_10, ISNUMBER(E53)),E53,0)+IF(AND(MONTH(AB49)=testData!month_10, ISNUMBER(F53)),F53,0)+IF(AND(MONTH(AC49)=testData!month_10, ISNUMBER(G53)),G53,0)+IF(AND(MONTH(AD49)=testData!month_10, ISNUMBER(H53)),H53,0)
+IF(AND(MONTH(Z54)=testData!month_10, ISNUMBER(D58)),D58,0)+IF(AND(MONTH(AA54)=testData!month_10, ISNUMBER(E58)),E58,0)+IF(AND(MONTH(AB54)=testData!month_10, ISNUMBER(F58)),F58,0)+IF(AND(MONTH(AC54)=testData!month_10, ISNUMBER(G58)),G58,0)+IF(AND(MONTH(AD54)=testData!month_10, ISNUMBER(H58)),H58,0),
IF(testData!WW_first_10=C54,
IF(AND(MONTH(Z49)=testData!month_10, ISNUMBER(D54)),D54,0)+IF(AND(MONTH(AA49)=testData!month_10, ISNUMBER(E54)),E54,0)+IF(AND(MONTH(AB49)=testData!month_10, ISNUMBER(F54)),F54,0)+IF(AND(MONTH(AC49)=testData!month_10, ISNUMBER(G54)),G54,0)+IF(AND(MONTH(AD49)=testData!month_10, ISNUMBER(H54)),H54,0)
+IF(AND(MONTH(Z54)=testData!month_10, ISNUMBER(D59)),D59,0)+IF(AND(MONTH(AA54)=testData!month_10, ISNUMBER(E59)),E59,0)+IF(AND(MONTH(AB54)=testData!month_10, ISNUMBER(F59)),F59,0)+IF(AND(MONTH(AC54)=testData!month_10, ISNUMBER(G59)),G59,0)+IF(AND(MONTH(AD54)=testData!month_10, ISNUMBER(H59)),H59,0),
IF(AND(MONTH(Z49)=testData!month_10, ISNUMBER(D52)),D52,0)+IF(AND(MONTH(AA49)=testData!month_10, ISNUMBER(E52)),E52,0)+IF(AND(MONTH(AB49)=testData!month_10, ISNUMBER(F52)),F52,0)+IF(AND(MONTH(AC49)=testData!month_10, ISNUMBER(G52)),G52,0)+IF(AND(MONTH(AD49)=testData!month_10, ISNUMBER(H52)),H52,0)
+IF(AND(MONTH(Z54)=testData!month_10, ISNUMBER(D57)),D57,0)+IF(AND(MONTH(AA54)=testData!month_10, ISNUMBER(E57)),E57,0)+IF(AND(MONTH(AB54)=testData!month_10, ISNUMBER(F57)),F57,0)+IF(AND(MONTH(AC54)=testData!month_10, ISNUMBER(G57)),G57,0)+IF(AND(MONTH(AD54)=testData!month_10, ISNUMBER(H57)),H57,0)))</f>
        <v>#NAME?</v>
      </c>
      <c r="X18" s="99"/>
      <c r="Y18" s="106" t="e">
        <f t="shared" ca="1" si="1"/>
        <v>#NAME?</v>
      </c>
      <c r="Z18" s="102"/>
      <c r="AA18" s="105" t="e">
        <f ca="1">IF(testData!WW_first_10=C53, COUNTIF(D54:H57,"="&amp;TEXT(testData!VacationDay,0)), IF(testData!WW_first_10=C54, COUNTIF(D55:H58,"="&amp;TEXT(testData!VacationDay,0)), COUNTIF(D53:H56,"="&amp;TEXT(testData!VacationDay,0))))
+ IF(testData!WW_first_10=C53,
IF(AND(MONTH(Z49)=testData!month_10, D53=testData!VacationDay),1,0)+IF(AND(MONTH(AA49)=testData!month_10, E53=testData!VacationDay),1,0)+IF(AND(MONTH(AB49)=testData!month_10, F53=testData!VacationDay),1,0)+IF(AND(MONTH(AC49)=testData!month_10, G53=testData!VacationDay),1,0)+IF(AND(MONTH(AD49)=testData!month_10, H53=testData!VacationDay),1,0)
+IF(AND(MONTH(Z54)=testData!month_10, D58=testData!VacationDay),1,0)+IF(AND(MONTH(AA54)=testData!month_10, E58=testData!VacationDay),1,0)+IF(AND(MONTH(AB54)=testData!month_10, F58=testData!VacationDay),1,0)+IF(AND(MONTH(AC54)=testData!month_10, G58=testData!VacationDay),1,0)+IF(AND(MONTH(AD54)=testData!month_10, H58=testData!VacationDay),1,0),
IF(testData!WW_first_10=C54,
IF(AND(MONTH(Z49)=testData!month_10, D54=testData!VacationDay),1,0)+IF(AND(MONTH(AA49)=testData!month_10, E54=testData!VacationDay),1,0)+IF(AND(MONTH(AB49)=testData!month_10, F54=testData!VacationDay),1,0)+IF(AND(MONTH(AC49)=testData!month_10, G54=testData!VacationDay),1,0)+IF(AND(MONTH(AD49)=testData!month_10, H54=testData!VacationDay),1,0)
+IF(AND(MONTH(Z54)=testData!month_10, D59=testData!VacationDay),1,0)+IF(AND(MONTH(AA54)=testData!month_10, E59=testData!VacationDay),1,0)+IF(AND(MONTH(AB54)=testData!month_10, F59=testData!VacationDay),1,0)+IF(AND(MONTH(AC54)=testData!month_10, G59=testData!VacationDay),1,0)+IF(AND(MONTH(AD54)=testData!month_10, H59=testData!VacationDay),1,0),
IF(AND(MONTH(Z49)=testData!month_10, D52=testData!VacationDay),1,0)+IF(AND(MONTH(AA49)=testData!month_10, E52=testData!VacationDay),1,0)+IF(AND(MONTH(AB49)=testData!month_10, F52=testData!VacationDay),1,0)+IF(AND(MONTH(AC49)=testData!month_10, G52=testData!VacationDay),1,0)+IF(AND(MONTH(AD49)=testData!month_10, H52=testData!VacationDay),1,0)
+IF(AND(MONTH(Z54)=testData!month_10, D57=testData!VacationDay),1,0)+IF(AND(MONTH(AA54)=testData!month_10, E57=testData!VacationDay),1,0)+IF(AND(MONTH(AB54)=testData!month_10, F57=testData!VacationDay),1,0)+IF(AND(MONTH(AC54)=testData!month_10, G57=testData!VacationDay),1,0)+IF(AND(MONTH(AD54)=testData!month_10, H57=testData!VacationDay),1,0)))</f>
        <v>#NAME?</v>
      </c>
      <c r="AB18" s="101"/>
      <c r="AC18" s="106" t="e">
        <f ca="1">IF(testData!WW_first_10=C53, COUNTIF(D54:H57,"="&amp;TEXT(testData!HolidayDay,0)), IF(testData!WW_first_10=C54, COUNTIF(D55:H58,"="&amp;TEXT(testData!HolidayDay,0)), COUNTIF(D53:H56,"="&amp;TEXT(testData!HolidayDay,0))))
+ IF(testData!WW_first_10=C53,
IF(AND(MONTH(Z49)=testData!month_10, D53=testData!HolidayDay),1,0)+IF(AND(MONTH(AA49)=testData!month_10, E53=testData!HolidayDay),1,0)+IF(AND(MONTH(AB49)=testData!month_10, F53=testData!HolidayDay),1,0)+IF(AND(MONTH(AC49)=testData!month_10, G53=testData!HolidayDay),1,0)+IF(AND(MONTH(AD49)=testData!month_10, H53=testData!HolidayDay),1,0)
+IF(AND(MONTH(Z54)=testData!month_10, D58=testData!HolidayDay),1,0)+IF(AND(MONTH(AA54)=testData!month_10, E58=testData!HolidayDay),1,0)+IF(AND(MONTH(AB54)=testData!month_10, F58=testData!HolidayDay),1,0)+IF(AND(MONTH(AC54)=testData!month_10, G58=testData!HolidayDay),1,0)+IF(AND(MONTH(AD54)=testData!month_10, H58=testData!HolidayDay),1,0),
IF(testData!WW_first_10=C54,
IF(AND(MONTH(Z49)=testData!month_10, D54=testData!HolidayDay),1,0)+IF(AND(MONTH(AA49)=testData!month_10, E54=testData!HolidayDay),1,0)+IF(AND(MONTH(AB49)=testData!month_10, F54=testData!HolidayDay),1,0)+IF(AND(MONTH(AC49)=testData!month_10, G54=testData!HolidayDay),1,0)+IF(AND(MONTH(AD49)=testData!month_10, H54=testData!HolidayDay),1,0)
+IF(AND(MONTH(Z54)=testData!month_10, D59=testData!HolidayDay),1,0)+IF(AND(MONTH(AA54)=testData!month_10, E59=testData!HolidayDay),1,0)+IF(AND(MONTH(AB54)=testData!month_10, F59=testData!HolidayDay),1,0)+IF(AND(MONTH(AC54)=testData!month_10, G59=testData!HolidayDay),1,0)+IF(AND(MONTH(AD54)=testData!month_10, H59=testData!HolidayDay),1,0),
IF(AND(MONTH(Z49)=testData!month_10, D52=testData!HolidayDay),1,0)+IF(AND(MONTH(AA49)=testData!month_10, E52=testData!HolidayDay),1,0)+IF(AND(MONTH(AB49)=testData!month_10, F52=testData!HolidayDay),1,0)+IF(AND(MONTH(AC49)=testData!month_10, G52=testData!HolidayDay),1,0)+IF(AND(MONTH(AD49)=testData!month_10, H52=testData!HolidayDay),1,0)
+IF(AND(MONTH(Z54)=testData!month_10, D57=testData!HolidayDay),1,0)+IF(AND(MONTH(AA54)=testData!month_10, E57=testData!HolidayDay),1,0)+IF(AND(MONTH(AB54)=testData!month_10, F57=testData!HolidayDay),1,0)+IF(AND(MONTH(AC54)=testData!month_10, G57=testData!HolidayDay),1,0)+IF(AND(MONTH(AD54)=testData!month_10, H57=testData!HolidayDay),1,0)))</f>
        <v>#NAME?</v>
      </c>
      <c r="AD18" s="101"/>
      <c r="AE18" s="106" t="e">
        <f ca="1">IF(testData!WW_first_10=C53, COUNTIF(D54:H57,"="&amp;TEXT(testData!OnCallOffDay,0)), IF(testData!WW_first_10=C54, COUNTIF(D55:H58,"="&amp;TEXT(testData!OnCallOffDay,0)), COUNTIF(D53:H56,"="&amp;TEXT(testData!OnCallOffDay,0))))
+ IF(testData!WW_first_10=C53,
IF(AND(MONTH(Z49)=testData!month_10, D53=testData!OnCallOffDay),1,0)+IF(AND(MONTH(AA49)=testData!month_10, E53=testData!OnCallOffDay),1,0)+IF(AND(MONTH(AB49)=testData!month_10, F53=testData!OnCallOffDay),1,0)+IF(AND(MONTH(AC49)=testData!month_10, G53=testData!OnCallOffDay),1,0)+IF(AND(MONTH(AD49)=testData!month_10, H53=testData!OnCallOffDay),1,0)
+IF(AND(MONTH(Z54)=testData!month_10, D58=testData!OnCallOffDay),1,0)+IF(AND(MONTH(AA54)=testData!month_10, E58=testData!OnCallOffDay),1,0)+IF(AND(MONTH(AB54)=testData!month_10, F58=testData!OnCallOffDay),1,0)+IF(AND(MONTH(AC54)=testData!month_10, G58=testData!OnCallOffDay),1,0)+IF(AND(MONTH(AD54)=testData!month_10, H58=testData!OnCallOffDay),1,0),
IF(testData!WW_first_10=C54,
IF(AND(MONTH(Z49)=testData!month_10, D54=testData!OnCallOffDay),1,0)+IF(AND(MONTH(AA49)=testData!month_10, E54=testData!OnCallOffDay),1,0)+IF(AND(MONTH(AB49)=testData!month_10, F54=testData!OnCallOffDay),1,0)+IF(AND(MONTH(AC49)=testData!month_10, G54=testData!OnCallOffDay),1,0)+IF(AND(MONTH(AD49)=testData!month_10, H54=testData!OnCallOffDay),1,0)
+IF(AND(MONTH(Z54)=testData!month_10, D59=testData!OnCallOffDay),1,0)+IF(AND(MONTH(AA54)=testData!month_10, E59=testData!OnCallOffDay),1,0)+IF(AND(MONTH(AB54)=testData!month_10, F59=testData!OnCallOffDay),1,0)+IF(AND(MONTH(AC54)=testData!month_10, G59=testData!OnCallOffDay),1,0)+IF(AND(MONTH(AD54)=testData!month_10, H59=testData!OnCallOffDay),1,0),
IF(AND(MONTH(Z49)=testData!month_10, D52=testData!OnCallOffDay),1,0)+IF(AND(MONTH(AA49)=testData!month_10, E52=testData!OnCallOffDay),1,0)+IF(AND(MONTH(AB49)=testData!month_10, F52=testData!OnCallOffDay),1,0)+IF(AND(MONTH(AC49)=testData!month_10, G52=testData!OnCallOffDay),1,0)+IF(AND(MONTH(AD49)=testData!month_10, H52=testData!OnCallOffDay),1,0)
+IF(AND(MONTH(Z54)=testData!month_10, D57=testData!OnCallOffDay),1,0)+IF(AND(MONTH(AA54)=testData!month_10, E57=testData!OnCallOffDay),1,0)+IF(AND(MONTH(AB54)=testData!month_10, F57=testData!OnCallOffDay),1,0)+IF(AND(MONTH(AC54)=testData!month_10, G57=testData!OnCallOffDay),1,0)+IF(AND(MONTH(AD54)=testData!month_10, H57=testData!OnCallOffDay),1,0)))</f>
        <v>#NAME?</v>
      </c>
      <c r="AF18" s="102"/>
      <c r="AG18" s="98" t="e">
        <f t="shared" ca="1" si="2"/>
        <v>#NAME?</v>
      </c>
      <c r="AH18" s="99"/>
      <c r="AI18" s="134" t="e">
        <f t="shared" ca="1" si="3"/>
        <v>#NAME?</v>
      </c>
      <c r="AJ18" s="99"/>
      <c r="AK18" s="100" t="str">
        <f ca="1">IFERROR(__xludf.DUMMYFUNCTION("if(AW18="""","""",IFERROR(SPARKLINE(AW18:AX18,{""charttype"",""bar"";""max"",1;""min"",0;""color1"",""#cbe5ed"";""color2"",""#f3f3f3""}),))"),"")</f>
        <v/>
      </c>
      <c r="AL18" s="101"/>
      <c r="AM18" s="101"/>
      <c r="AN18" s="101"/>
      <c r="AO18" s="101"/>
      <c r="AP18" s="101"/>
      <c r="AQ18" s="101"/>
      <c r="AR18" s="101"/>
      <c r="AS18" s="101"/>
      <c r="AT18" s="101"/>
      <c r="AU18" s="98" t="e">
        <f t="shared" ca="1" si="4"/>
        <v>#NAME?</v>
      </c>
      <c r="AV18" s="102"/>
      <c r="AW18" s="11" t="e">
        <f t="shared" ca="1" si="5"/>
        <v>#NAME?</v>
      </c>
      <c r="AX18" s="12" t="e">
        <f t="shared" ca="1" si="6"/>
        <v>#NAME?</v>
      </c>
    </row>
    <row r="19" spans="1:50" ht="18" customHeight="1">
      <c r="A19" s="3">
        <f t="shared" si="8"/>
        <v>4</v>
      </c>
      <c r="B19" s="23" t="s">
        <v>21</v>
      </c>
      <c r="C19" s="24" t="e">
        <f t="shared" ca="1" si="15"/>
        <v>#NAME?</v>
      </c>
      <c r="D19" s="25">
        <v>1</v>
      </c>
      <c r="E19" s="32">
        <v>1</v>
      </c>
      <c r="F19" s="33"/>
      <c r="G19" s="28">
        <v>1</v>
      </c>
      <c r="H19" s="34">
        <v>1</v>
      </c>
      <c r="I19" s="2"/>
      <c r="J19" s="2"/>
      <c r="K19" s="29" t="e">
        <f t="shared" si="9"/>
        <v>#REF!</v>
      </c>
      <c r="L19" s="29" t="e">
        <f t="shared" si="10"/>
        <v>#REF!</v>
      </c>
      <c r="M19" s="29" t="e">
        <f t="shared" si="11"/>
        <v>#REF!</v>
      </c>
      <c r="N19" s="30" t="e">
        <f t="shared" si="12"/>
        <v>#REF!</v>
      </c>
      <c r="O19" s="82" t="e">
        <f t="shared" si="13"/>
        <v>#REF!</v>
      </c>
      <c r="P19" s="82" t="e">
        <f t="shared" si="14"/>
        <v>#REF!</v>
      </c>
      <c r="Q19" s="94"/>
      <c r="R19" s="103" t="e">
        <f t="shared" ca="1" si="7"/>
        <v>#NAME?</v>
      </c>
      <c r="S19" s="104"/>
      <c r="T19" s="104"/>
      <c r="U19" s="135" t="e">
        <f t="shared" ca="1" si="0"/>
        <v>#NAME?</v>
      </c>
      <c r="V19" s="136"/>
      <c r="W19" s="137" t="e">
        <f ca="1">IF(testData!WW_first_11=C57, COUNTIF(D58:H61,"&gt;0"), IF(testData!WW_first_11=C58, COUNTIF(D59:H62,"&gt;0"), COUNTIF(D57:H60,"&gt;0")))
+ IF(testData!WW_first_11=C57,
IF(AND(MONTH(AH49)=testData!month_11, ISNUMBER(D57)),D57,0)+IF(AND(MONTH(AI49)=testData!month_11, ISNUMBER(E57)),E57,0)+IF(AND(MONTH(AJ49)=testData!month_11, ISNUMBER(F57)),F57,0)+IF(AND(MONTH(AK49)=testData!month_11, ISNUMBER(G57)),G57,0)+IF(AND(MONTH(AL49)=testData!month_11, ISNUMBER(H57)),H57,0)
+IF(AND(MONTH(AH54)=testData!month_11, ISNUMBER(D62)),D62,0)+IF(AND(MONTH(AI54)=testData!month_11, ISNUMBER(E62)),E62,0)+IF(AND(MONTH(AJ54)=testData!month_11, ISNUMBER(F62)),F62,0)+IF(AND(MONTH(AK54)=testData!month_11, ISNUMBER(G62)),G62,0)+IF(AND(MONTH(AL54)=testData!month_11, ISNUMBER(H62)),H62,0),
IF(testData!WW_first_11=C58,
IF(AND(MONTH(AH49)=testData!month_11, ISNUMBER(D58)),D58,0)+IF(AND(MONTH(AI49)=testData!month_11, ISNUMBER(E58)),E58,0)+IF(AND(MONTH(AJ49)=testData!month_11, ISNUMBER(F58)),F58,0)+IF(AND(MONTH(AK49)=testData!month_11, ISNUMBER(G58)),G58,0)+IF(AND(MONTH(AL49)=testData!month_11, ISNUMBER(H58)),H58,0)
+IF(AND(MONTH(AH54)=testData!month_11, ISNUMBER(D63)),D63,0)+IF(AND(MONTH(AI54)=testData!month_11, ISNUMBER(E63)),E63,0)+IF(AND(MONTH(AJ54)=testData!month_11, ISNUMBER(F63)),F63,0)+IF(AND(MONTH(AK54)=testData!month_11, ISNUMBER(G63)),G63,0)+IF(AND(MONTH(AL54)=testData!month_11, ISNUMBER(H63)),H63,0),
IF(AND(MONTH(AH49)=testData!month_11, ISNUMBER(D56)),D56,0)+IF(AND(MONTH(AI49)=testData!month_11, ISNUMBER(E56)),E56,0)+IF(AND(MONTH(AJ49)=testData!month_11, ISNUMBER(F56)),F56,0)+IF(AND(MONTH(AK49)=testData!month_11, ISNUMBER(G56)),G56,0)+IF(AND(MONTH(AL49)=testData!month_11, ISNUMBER(H56)),H56,0)
+IF(AND(MONTH(AH54)=testData!month_11, ISNUMBER(D61)),D61,0)+IF(AND(MONTH(AI54)=testData!month_11, ISNUMBER(E61)),E61,0)+IF(AND(MONTH(AJ54)=testData!month_11, ISNUMBER(F61)),F61,0)+IF(AND(MONTH(AK54)=testData!month_11, ISNUMBER(G61)),G61,0)+IF(AND(MONTH(AL54)=testData!month_11, ISNUMBER(H61)),H61,0)))</f>
        <v>#NAME?</v>
      </c>
      <c r="X19" s="99"/>
      <c r="Y19" s="106" t="e">
        <f t="shared" ca="1" si="1"/>
        <v>#NAME?</v>
      </c>
      <c r="Z19" s="102"/>
      <c r="AA19" s="105" t="e">
        <f ca="1">IF(testData!WW_first_11=C57, COUNTIF(D58:H61,"="&amp;TEXT(testData!VacationDay,0)), IF(testData!WW_first_11=C58, COUNTIF(D59:H62,"="&amp;TEXT(testData!VacationDay,0)), COUNTIF(D57:H60,"="&amp;TEXT(testData!VacationDay,0))))
+ IF(testData!WW_first_11=C57,
IF(AND(MONTH(AH49)=testData!month_11, D57=testData!VacationDay),1,0)+IF(AND(MONTH(AI49)=testData!month_11, E57=testData!VacationDay),1,0)+IF(AND(MONTH(AJ49)=testData!month_11, F57=testData!VacationDay),1,0)+IF(AND(MONTH(AK49)=testData!month_11, G57=testData!VacationDay),1,0)+IF(AND(MONTH(AL49)=testData!month_11, H57=testData!VacationDay),1,0)
+IF(AND(MONTH(AH54)=testData!month_11, D62=testData!VacationDay),1,0)+IF(AND(MONTH(AI54)=testData!month_11, E62=testData!VacationDay),1,0)+IF(AND(MONTH(AJ54)=testData!month_11, F62=testData!VacationDay),1,0)+IF(AND(MONTH(AK54)=testData!month_11, G62=testData!VacationDay),1,0)+IF(AND(MONTH(AL54)=testData!month_11, H62=testData!VacationDay),1,0),
IF(testData!WW_first_11=C58,
IF(AND(MONTH(AH49)=testData!month_11, D58=testData!VacationDay),1,0)+IF(AND(MONTH(AI49)=testData!month_11, E58=testData!VacationDay),1,0)+IF(AND(MONTH(AJ49)=testData!month_11, F58=testData!VacationDay),1,0)+IF(AND(MONTH(AK49)=testData!month_11, G58=testData!VacationDay),1,0)+IF(AND(MONTH(AL49)=testData!month_11, H58=testData!VacationDay),1,0)
+IF(AND(MONTH(AH54)=testData!month_11, D63=testData!VacationDay),1,0)+IF(AND(MONTH(AI54)=testData!month_11, E63=testData!VacationDay),1,0)+IF(AND(MONTH(AJ54)=testData!month_11, F63=testData!VacationDay),1,0)+IF(AND(MONTH(AK54)=testData!month_11, G63=testData!VacationDay),1,0)+IF(AND(MONTH(AL54)=testData!month_11, H63=testData!VacationDay),1,0),
IF(AND(MONTH(AH49)=testData!month_11, D56=testData!VacationDay),1,0)+IF(AND(MONTH(AI49)=testData!month_11, E56=testData!VacationDay),1,0)+IF(AND(MONTH(AJ49)=testData!month_11, F56=testData!VacationDay),1,0)+IF(AND(MONTH(AK49)=testData!month_11, G56=testData!VacationDay),1,0)+IF(AND(MONTH(AL49)=testData!month_11, H56=testData!VacationDay),1,0)
+IF(AND(MONTH(AH54)=testData!month_11, D61=testData!VacationDay),1,0)+IF(AND(MONTH(AI54)=testData!month_11, E61=testData!VacationDay),1,0)+IF(AND(MONTH(AJ54)=testData!month_11, F61=testData!VacationDay),1,0)+IF(AND(MONTH(AK54)=testData!month_11, G61=testData!VacationDay),1,0)+IF(AND(MONTH(AL54)=testData!month_11, H61=testData!VacationDay),1,0)))</f>
        <v>#NAME?</v>
      </c>
      <c r="AB19" s="101"/>
      <c r="AC19" s="106" t="e">
        <f ca="1">IF(testData!WW_first_11=C57, COUNTIF(D58:H61,"="&amp;TEXT(testData!HolidayDay,0)), IF(testData!WW_first_11=C58, COUNTIF(D59:H62,"="&amp;TEXT(testData!HolidayDay,0)), COUNTIF(D57:H60,"="&amp;TEXT(testData!HolidayDay,0))))
+ IF(testData!WW_first_11=C57,
IF(AND(MONTH(AH49)=testData!month_11, D57=testData!HolidayDay),1,0)+IF(AND(MONTH(AI49)=testData!month_11, E57=testData!HolidayDay),1,0)+IF(AND(MONTH(AJ49)=testData!month_11, F57=testData!HolidayDay),1,0)+IF(AND(MONTH(AK49)=testData!month_11, G57=testData!HolidayDay),1,0)+IF(AND(MONTH(AL49)=testData!month_11, H57=testData!HolidayDay),1,0)
+IF(AND(MONTH(AH54)=testData!month_11, D62=testData!HolidayDay),1,0)+IF(AND(MONTH(AI54)=testData!month_11, E62=testData!HolidayDay),1,0)+IF(AND(MONTH(AJ54)=testData!month_11, F62=testData!HolidayDay),1,0)+IF(AND(MONTH(AK54)=testData!month_11, G62=testData!HolidayDay),1,0)+IF(AND(MONTH(AL54)=testData!month_11, H62=testData!HolidayDay),1,0),
IF(testData!WW_first_11=C58,
IF(AND(MONTH(AH49)=testData!month_11, D58=testData!HolidayDay),1,0)+IF(AND(MONTH(AI49)=testData!month_11, E58=testData!HolidayDay),1,0)+IF(AND(MONTH(AJ49)=testData!month_11, F58=testData!HolidayDay),1,0)+IF(AND(MONTH(AK49)=testData!month_11, G58=testData!HolidayDay),1,0)+IF(AND(MONTH(AL49)=testData!month_11, H58=testData!HolidayDay),1,0)
+IF(AND(MONTH(AH54)=testData!month_11, D63=testData!HolidayDay),1,0)+IF(AND(MONTH(AI54)=testData!month_11, E63=testData!HolidayDay),1,0)+IF(AND(MONTH(AJ54)=testData!month_11, F63=testData!HolidayDay),1,0)+IF(AND(MONTH(AK54)=testData!month_11, G63=testData!HolidayDay),1,0)+IF(AND(MONTH(AL54)=testData!month_11, H63=testData!HolidayDay),1,0),
IF(AND(MONTH(AH49)=testData!month_11, D56=testData!HolidayDay),1,0)+IF(AND(MONTH(AI49)=testData!month_11, E56=testData!HolidayDay),1,0)+IF(AND(MONTH(AJ49)=testData!month_11, F56=testData!HolidayDay),1,0)+IF(AND(MONTH(AK49)=testData!month_11, G56=testData!HolidayDay),1,0)+IF(AND(MONTH(AL49)=testData!month_11, H56=testData!HolidayDay),1,0)
+IF(AND(MONTH(AH54)=testData!month_11, D61=testData!HolidayDay),1,0)+IF(AND(MONTH(AI54)=testData!month_11, E61=testData!HolidayDay),1,0)+IF(AND(MONTH(AJ54)=testData!month_11, F61=testData!HolidayDay),1,0)+IF(AND(MONTH(AK54)=testData!month_11, G61=testData!HolidayDay),1,0)+IF(AND(MONTH(AL54)=testData!month_11, H61=testData!HolidayDay),1,0)))</f>
        <v>#NAME?</v>
      </c>
      <c r="AD19" s="101"/>
      <c r="AE19" s="106" t="e">
        <f ca="1">IF(testData!WW_first_11=C57, COUNTIF(D58:H61,"="&amp;TEXT(testData!OnCallOffDay,0)), IF(testData!WW_first_11=C58, COUNTIF(D59:H62,"="&amp;TEXT(testData!OnCallOffDay,0)), COUNTIF(D57:H60,"="&amp;TEXT(testData!OnCallOffDay,0))))
+ IF(testData!WW_first_11=C57,
IF(AND(MONTH(AH49)=testData!month_11, D57=testData!OnCallOffDay),1,0)+IF(AND(MONTH(AI49)=testData!month_11, E57=testData!OnCallOffDay),1,0)+IF(AND(MONTH(AJ49)=testData!month_11, F57=testData!OnCallOffDay),1,0)+IF(AND(MONTH(AK49)=testData!month_11, G57=testData!OnCallOffDay),1,0)+IF(AND(MONTH(AL49)=testData!month_11, H57=testData!OnCallOffDay),1,0)
+IF(AND(MONTH(AH54)=testData!month_11, D62=testData!OnCallOffDay),1,0)+IF(AND(MONTH(AI54)=testData!month_11, E62=testData!OnCallOffDay),1,0)+IF(AND(MONTH(AJ54)=testData!month_11, F62=testData!OnCallOffDay),1,0)+IF(AND(MONTH(AK54)=testData!month_11, G62=testData!OnCallOffDay),1,0)+IF(AND(MONTH(AL54)=testData!month_11, H62=testData!OnCallOffDay),1,0),
IF(testData!WW_first_11=C58,
IF(AND(MONTH(AH49)=testData!month_11, D58=testData!OnCallOffDay),1,0)+IF(AND(MONTH(AI49)=testData!month_11, E58=testData!OnCallOffDay),1,0)+IF(AND(MONTH(AJ49)=testData!month_11, F58=testData!OnCallOffDay),1,0)+IF(AND(MONTH(AK49)=testData!month_11, G58=testData!OnCallOffDay),1,0)+IF(AND(MONTH(AL49)=testData!month_11, H58=testData!OnCallOffDay),1,0)
+IF(AND(MONTH(AH54)=testData!month_11, D63=testData!OnCallOffDay),1,0)+IF(AND(MONTH(AI54)=testData!month_11, E63=testData!OnCallOffDay),1,0)+IF(AND(MONTH(AJ54)=testData!month_11, F63=testData!OnCallOffDay),1,0)+IF(AND(MONTH(AK54)=testData!month_11, G63=testData!OnCallOffDay),1,0)+IF(AND(MONTH(AL54)=testData!month_11, H63=testData!OnCallOffDay),1,0),
IF(AND(MONTH(AH49)=testData!month_11, D56=testData!OnCallOffDay),1,0)+IF(AND(MONTH(AI49)=testData!month_11, E56=testData!OnCallOffDay),1,0)+IF(AND(MONTH(AJ49)=testData!month_11, F56=testData!OnCallOffDay),1,0)+IF(AND(MONTH(AK49)=testData!month_11, G56=testData!OnCallOffDay),1,0)+IF(AND(MONTH(AL49)=testData!month_11, H56=testData!OnCallOffDay),1,0)
+IF(AND(MONTH(AH54)=testData!month_11, D61=testData!OnCallOffDay),1,0)+IF(AND(MONTH(AI54)=testData!month_11, E61=testData!OnCallOffDay),1,0)+IF(AND(MONTH(AJ54)=testData!month_11, F61=testData!OnCallOffDay),1,0)+IF(AND(MONTH(AK54)=testData!month_11, G61=testData!OnCallOffDay),1,0)+IF(AND(MONTH(AL54)=testData!month_11, H61=testData!OnCallOffDay),1,0)))</f>
        <v>#NAME?</v>
      </c>
      <c r="AF19" s="102"/>
      <c r="AG19" s="98" t="e">
        <f t="shared" ca="1" si="2"/>
        <v>#NAME?</v>
      </c>
      <c r="AH19" s="99"/>
      <c r="AI19" s="134" t="e">
        <f t="shared" ca="1" si="3"/>
        <v>#NAME?</v>
      </c>
      <c r="AJ19" s="99"/>
      <c r="AK19" s="100" t="str">
        <f ca="1">IFERROR(__xludf.DUMMYFUNCTION("if(AW19="""","""",IFERROR(SPARKLINE(AW19:AX19,{""charttype"",""bar"";""max"",1;""min"",0;""color1"",""#cbe5ed"";""color2"",""#f3f3f3""}),))"),"")</f>
        <v/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98" t="e">
        <f t="shared" ca="1" si="4"/>
        <v>#NAME?</v>
      </c>
      <c r="AV19" s="102"/>
      <c r="AW19" s="11" t="e">
        <f t="shared" ca="1" si="5"/>
        <v>#NAME?</v>
      </c>
      <c r="AX19" s="12" t="e">
        <f t="shared" ca="1" si="6"/>
        <v>#NAME?</v>
      </c>
    </row>
    <row r="20" spans="1:50" ht="18" customHeight="1">
      <c r="A20" s="3">
        <f t="shared" si="8"/>
        <v>2</v>
      </c>
      <c r="B20" s="23" t="s">
        <v>21</v>
      </c>
      <c r="C20" s="24" t="e">
        <f t="shared" ca="1" si="15"/>
        <v>#NAME?</v>
      </c>
      <c r="D20" s="25"/>
      <c r="E20" s="32"/>
      <c r="F20" s="33">
        <v>1</v>
      </c>
      <c r="G20" s="28">
        <v>1</v>
      </c>
      <c r="H20" s="34"/>
      <c r="I20" s="2"/>
      <c r="J20" s="2"/>
      <c r="K20" s="29" t="e">
        <f t="shared" si="9"/>
        <v>#REF!</v>
      </c>
      <c r="L20" s="29" t="e">
        <f t="shared" si="10"/>
        <v>#REF!</v>
      </c>
      <c r="M20" s="29" t="e">
        <f t="shared" si="11"/>
        <v>#REF!</v>
      </c>
      <c r="N20" s="30" t="e">
        <f t="shared" si="12"/>
        <v>#REF!</v>
      </c>
      <c r="O20" s="82" t="e">
        <f t="shared" si="13"/>
        <v>#REF!</v>
      </c>
      <c r="P20" s="82" t="e">
        <f t="shared" si="14"/>
        <v>#REF!</v>
      </c>
      <c r="Q20" s="94"/>
      <c r="R20" s="156" t="e">
        <f t="shared" ca="1" si="7"/>
        <v>#NAME?</v>
      </c>
      <c r="S20" s="130"/>
      <c r="T20" s="130"/>
      <c r="U20" s="157" t="e">
        <f t="shared" ca="1" si="0"/>
        <v>#NAME?</v>
      </c>
      <c r="V20" s="158"/>
      <c r="W20" s="159" t="e">
        <f ca="1">IF(testData!WW_first_12=C61, COUNTIF(D62:H65,"&gt;0"), IF(testData!WW_first_12=C62, COUNTIF(D63:H66,"&gt;0"), COUNTIF(D61:H64,"&gt;0")))
+ IF(testData!WW_first_12=C61,
IF(AND(MONTH(AP49)=testData!month_12, ISNUMBER(D61)),D61,0)+IF(AND(MONTH(AQ49)=testData!month_12, ISNUMBER(E61)),E61,0)+IF(AND(MONTH(AR49)=testData!month_12, ISNUMBER(F61)),F61,0)+IF(AND(MONTH(AS49)=testData!month_12, ISNUMBER(G61)),G61,0)+IF(AND(MONTH(AT49)=testData!month_12, ISNUMBER(H61)),H61,0)
+IF(AND(MONTH(AP54)=testData!month_12, ISNUMBER(D66)),D66,0)+IF(AND(MONTH(AQ54)=testData!month_12, ISNUMBER(E66)),E66,0)+IF(AND(MONTH(AR54)=testData!month_12, ISNUMBER(F66)),F66,0)+IF(AND(MONTH(AS54)=testData!month_12, ISNUMBER(G66)),G66,0)+IF(AND(MONTH(AT54)=testData!month_12, ISNUMBER(H66)),H66,0),
IF(testData!WW_first_12=C62,
IF(AND(MONTH(AP49)=testData!month_12, ISNUMBER(D62)),D62,0)+IF(AND(MONTH(AQ49)=testData!month_12, ISNUMBER(E62)),E62,0)+IF(AND(MONTH(AR49)=testData!month_12, ISNUMBER(F62)),F62,0)+IF(AND(MONTH(AS49)=testData!month_12, ISNUMBER(G62)),G62,0)+IF(AND(MONTH(AT49)=testData!month_12, ISNUMBER(H62)),H62,0)
+IF(AND(MONTH(AP54)=testData!month_12, ISNUMBER(D67)),D67,0)+IF(AND(MONTH(AQ54)=testData!month_12, ISNUMBER(E67)),E67,0)+IF(AND(MONTH(AR54)=testData!month_12, ISNUMBER(F67)),F67,0)+IF(AND(MONTH(AS54)=testData!month_12, ISNUMBER(G67)),G67,0)+IF(AND(MONTH(AT54)=testData!month_12, ISNUMBER(H67)),H67,0),
IF(AND(MONTH(AP49)=testData!month_12, ISNUMBER(D60)),D60,0)+IF(AND(MONTH(AQ49)=testData!month_12, ISNUMBER(E60)),E60,0)+IF(AND(MONTH(AR49)=testData!month_12, ISNUMBER(F60)),F60,0)+IF(AND(MONTH(AS49)=testData!month_12, ISNUMBER(G60)),G60,0)+IF(AND(MONTH(AT49)=testData!month_12, ISNUMBER(H60)),H60,0)
+IF(AND(MONTH(AP54)=testData!month_12, ISNUMBER(D65)),D65,0)+IF(AND(MONTH(AQ54)=testData!month_12, ISNUMBER(E65)),E65,0)+IF(AND(MONTH(AR54)=testData!month_12, ISNUMBER(F65)),F65,0)+IF(AND(MONTH(AS54)=testData!month_12, ISNUMBER(G65)),G65,0)+IF(AND(MONTH(AT54)=testData!month_12, ISNUMBER(H65)),H65,0)))</f>
        <v>#NAME?</v>
      </c>
      <c r="X20" s="111"/>
      <c r="Y20" s="160" t="e">
        <f t="shared" ca="1" si="1"/>
        <v>#NAME?</v>
      </c>
      <c r="Z20" s="112"/>
      <c r="AA20" s="154" t="e">
        <f ca="1">IF(testData!WW_first_12=C61, COUNTIF(D62:H65,"="&amp;TEXT(testData!VacationDay,0)), IF(testData!WW_first_12=C62, COUNTIF(D63:H66,"="&amp;TEXT(testData!VacationDay,0)), COUNTIF(D61:H64,"="&amp;TEXT(testData!VacationDay,0))))
+ IF(testData!WW_first_12=C61,
IF(AND(MONTH(AP49)=testData!month_12, D61=testData!VacationDay),1,0)+IF(AND(MONTH(AQ49)=testData!month_12, E61=testData!VacationDay),1,0)+IF(AND(MONTH(AR49)=testData!month_12, F61=testData!VacationDay),1,0)+IF(AND(MONTH(AS49)=testData!month_12, G61=testData!VacationDay),1,0)+IF(AND(MONTH(AT49)=testData!month_12, H61=testData!VacationDay),1,0)
+IF(AND(MONTH(AP54)=testData!month_12, D66=testData!VacationDay),1,0)+IF(AND(MONTH(AQ54)=testData!month_12, E66=testData!VacationDay),1,0)+IF(AND(MONTH(AR54)=testData!month_12, F66=testData!VacationDay),1,0)+IF(AND(MONTH(AS54)=testData!month_12, G66=testData!VacationDay),1,0)+IF(AND(MONTH(AT54)=testData!month_12, H66=testData!VacationDay),1,0),
IF(testData!WW_first_12=C62,
IF(AND(MONTH(AP49)=testData!month_12, D62=testData!VacationDay),1,0)+IF(AND(MONTH(AQ49)=testData!month_12, E62=testData!VacationDay),1,0)+IF(AND(MONTH(AR49)=testData!month_12, F62=testData!VacationDay),1,0)+IF(AND(MONTH(AS49)=testData!month_12, G62=testData!VacationDay),1,0)+IF(AND(MONTH(AT49)=testData!month_12, H62=testData!VacationDay),1,0)
+IF(AND(MONTH(AP54)=testData!month_12, D67=testData!VacationDay),1,0)+IF(AND(MONTH(AQ54)=testData!month_12, E67=testData!VacationDay),1,0)+IF(AND(MONTH(AR54)=testData!month_12, F67=testData!VacationDay),1,0)+IF(AND(MONTH(AS54)=testData!month_12, G67=testData!VacationDay),1,0)+IF(AND(MONTH(AT54)=testData!month_12, H67=testData!VacationDay),1,0),
IF(AND(MONTH(AP49)=testData!month_12, D60=testData!VacationDay),1,0)+IF(AND(MONTH(AQ49)=testData!month_12, E60=testData!VacationDay),1,0)+IF(AND(MONTH(AR49)=testData!month_12, F60=testData!VacationDay),1,0)+IF(AND(MONTH(AS49)=testData!month_12, G60=testData!VacationDay),1,0)+IF(AND(MONTH(AT49)=testData!month_12, H60=testData!VacationDay),1,0)
+IF(AND(MONTH(AP54)=testData!month_12, D65=testData!VacationDay),1,0)+IF(AND(MONTH(AQ54)=testData!month_12, E65=testData!VacationDay),1,0)+IF(AND(MONTH(AR54)=testData!month_12, F65=testData!VacationDay),1,0)+IF(AND(MONTH(AS54)=testData!month_12, G65=testData!VacationDay),1,0)+IF(AND(MONTH(AT54)=testData!month_12, H65=testData!VacationDay),1,0)))</f>
        <v>#NAME?</v>
      </c>
      <c r="AB20" s="111"/>
      <c r="AC20" s="160" t="e">
        <f ca="1">IF(testData!WW_first_12=C61, COUNTIF(D62:H65,"="&amp;TEXT(testData!HolidayDay,0)), IF(testData!WW_first_12=C62, COUNTIF(D63:H66,"="&amp;TEXT(testData!HolidayDay,0)), COUNTIF(D61:H64,"="&amp;TEXT(testData!HolidayDay,0))))
+ IF(testData!WW_first_12=C61,
IF(AND(MONTH(AP49)=testData!month_12, D61=testData!HolidayDay),1,0)+IF(AND(MONTH(AQ49)=testData!month_12, E61=testData!HolidayDay),1,0)+IF(AND(MONTH(AR49)=testData!month_12, F61=testData!HolidayDay),1,0)+IF(AND(MONTH(AS49)=testData!month_12, G61=testData!HolidayDay),1,0)+IF(AND(MONTH(AT49)=testData!month_12, H61=testData!HolidayDay),1,0)
+IF(AND(MONTH(AP54)=testData!month_12, D66=testData!HolidayDay),1,0)+IF(AND(MONTH(AQ54)=testData!month_12, E66=testData!HolidayDay),1,0)+IF(AND(MONTH(AR54)=testData!month_12, F66=testData!HolidayDay),1,0)+IF(AND(MONTH(AS54)=testData!month_12, G66=testData!HolidayDay),1,0)+IF(AND(MONTH(AT54)=testData!month_12, H66=testData!HolidayDay),1,0),
IF(testData!WW_first_12=C62,
IF(AND(MONTH(AP49)=testData!month_12, D62=testData!HolidayDay),1,0)+IF(AND(MONTH(AQ49)=testData!month_12, E62=testData!HolidayDay),1,0)+IF(AND(MONTH(AR49)=testData!month_12, F62=testData!HolidayDay),1,0)+IF(AND(MONTH(AS49)=testData!month_12, G62=testData!HolidayDay),1,0)+IF(AND(MONTH(AT49)=testData!month_12, H62=testData!HolidayDay),1,0)
+IF(AND(MONTH(AP54)=testData!month_12, D67=testData!HolidayDay),1,0)+IF(AND(MONTH(AQ54)=testData!month_12, E67=testData!HolidayDay),1,0)+IF(AND(MONTH(AR54)=testData!month_12, F67=testData!HolidayDay),1,0)+IF(AND(MONTH(AS54)=testData!month_12, G67=testData!HolidayDay),1,0)+IF(AND(MONTH(AT54)=testData!month_12, H67=testData!HolidayDay),1,0),
IF(AND(MONTH(AP49)=testData!month_12, D60=testData!HolidayDay),1,0)+IF(AND(MONTH(AQ49)=testData!month_12, E60=testData!HolidayDay),1,0)+IF(AND(MONTH(AR49)=testData!month_12, F60=testData!HolidayDay),1,0)+IF(AND(MONTH(AS49)=testData!month_12, G60=testData!HolidayDay),1,0)+IF(AND(MONTH(AT49)=testData!month_12, H60=testData!HolidayDay),1,0)
+IF(AND(MONTH(AP54)=testData!month_12, D65=testData!HolidayDay),1,0)+IF(AND(MONTH(AQ54)=testData!month_12, E65=testData!HolidayDay),1,0)+IF(AND(MONTH(AR54)=testData!month_12, F65=testData!HolidayDay),1,0)+IF(AND(MONTH(AS54)=testData!month_12, G65=testData!HolidayDay),1,0)+IF(AND(MONTH(AT54)=testData!month_12, H65=testData!HolidayDay),1,0)))</f>
        <v>#NAME?</v>
      </c>
      <c r="AD20" s="111"/>
      <c r="AE20" s="160" t="e">
        <f ca="1">IF(testData!WW_first_12=C61, COUNTIF(D62:H65,"="&amp;TEXT(testData!OnCallOffDay,0)), IF(testData!WW_first_12=C62, COUNTIF(D63:H66,"="&amp;TEXT(testData!OnCallOffDay,0)), COUNTIF(D61:H64,"="&amp;TEXT(testData!OnCallOffDay,0))))
+ IF(testData!WW_first_12=C61,
IF(AND(MONTH(AP49)=testData!month_12, D61=testData!OnCallOffDay),1,0)+IF(AND(MONTH(AQ49)=testData!month_12, E61=testData!OnCallOffDay),1,0)+IF(AND(MONTH(AR49)=testData!month_12, F61=testData!OnCallOffDay),1,0)+IF(AND(MONTH(AS49)=testData!month_12, G61=testData!OnCallOffDay),1,0)+IF(AND(MONTH(AT49)=testData!month_12, H61=testData!OnCallOffDay),1,0)
+IF(AND(MONTH(AP54)=testData!month_12, D66=testData!OnCallOffDay),1,0)+IF(AND(MONTH(AQ54)=testData!month_12, E66=testData!OnCallOffDay),1,0)+IF(AND(MONTH(AR54)=testData!month_12, F66=testData!OnCallOffDay),1,0)+IF(AND(MONTH(AS54)=testData!month_12, G66=testData!OnCallOffDay),1,0)+IF(AND(MONTH(AT54)=testData!month_12, H66=testData!OnCallOffDay),1,0),
IF(testData!WW_first_12=C62,
IF(AND(MONTH(AP49)=testData!month_12, D62=testData!OnCallOffDay),1,0)+IF(AND(MONTH(AQ49)=testData!month_12, E62=testData!OnCallOffDay),1,0)+IF(AND(MONTH(AR49)=testData!month_12, F62=testData!OnCallOffDay),1,0)+IF(AND(MONTH(AS49)=testData!month_12, G62=testData!OnCallOffDay),1,0)+IF(AND(MONTH(AT49)=testData!month_12, H62=testData!OnCallOffDay),1,0)
+IF(AND(MONTH(AP54)=testData!month_12, D67=testData!OnCallOffDay),1,0)+IF(AND(MONTH(AQ54)=testData!month_12, E67=testData!OnCallOffDay),1,0)+IF(AND(MONTH(AR54)=testData!month_12, F67=testData!OnCallOffDay),1,0)+IF(AND(MONTH(AS54)=testData!month_12, G67=testData!OnCallOffDay),1,0)+IF(AND(MONTH(AT54)=testData!month_12, H67=testData!OnCallOffDay),1,0),
IF(AND(MONTH(AP49)=testData!month_12, D60=testData!OnCallOffDay),1,0)+IF(AND(MONTH(AQ49)=testData!month_12, E60=testData!OnCallOffDay),1,0)+IF(AND(MONTH(AR49)=testData!month_12, F60=testData!OnCallOffDay),1,0)+IF(AND(MONTH(AS49)=testData!month_12, G60=testData!OnCallOffDay),1,0)+IF(AND(MONTH(AT49)=testData!month_12, H60=testData!OnCallOffDay),1,0)
+IF(AND(MONTH(AP54)=testData!month_12, D65=testData!OnCallOffDay),1,0)+IF(AND(MONTH(AQ54)=testData!month_12, E65=testData!OnCallOffDay),1,0)+IF(AND(MONTH(AR54)=testData!month_12, F65=testData!OnCallOffDay),1,0)+IF(AND(MONTH(AS54)=testData!month_12, G65=testData!OnCallOffDay),1,0)+IF(AND(MONTH(AT54)=testData!month_12, H65=testData!OnCallOffDay),1,0)))</f>
        <v>#NAME?</v>
      </c>
      <c r="AF20" s="112"/>
      <c r="AG20" s="138" t="e">
        <f t="shared" ca="1" si="2"/>
        <v>#NAME?</v>
      </c>
      <c r="AH20" s="139"/>
      <c r="AI20" s="140" t="e">
        <f t="shared" ca="1" si="3"/>
        <v>#NAME?</v>
      </c>
      <c r="AJ20" s="111"/>
      <c r="AK20" s="141" t="str">
        <f ca="1">IFERROR(__xludf.DUMMYFUNCTION("if(AW20="""","""",IFERROR(SPARKLINE(AW20:AX20,{""charttype"",""bar"";""max"",1;""min"",0;""color1"",""#cbe5ed"";""color2"",""#f3f3f3""}),))"),"")</f>
        <v/>
      </c>
      <c r="AL20" s="111"/>
      <c r="AM20" s="111"/>
      <c r="AN20" s="111"/>
      <c r="AO20" s="111"/>
      <c r="AP20" s="111"/>
      <c r="AQ20" s="111"/>
      <c r="AR20" s="111"/>
      <c r="AS20" s="111"/>
      <c r="AT20" s="111"/>
      <c r="AU20" s="119" t="e">
        <f t="shared" ca="1" si="4"/>
        <v>#NAME?</v>
      </c>
      <c r="AV20" s="112"/>
      <c r="AW20" s="11" t="e">
        <f t="shared" ca="1" si="5"/>
        <v>#NAME?</v>
      </c>
      <c r="AX20" s="12" t="e">
        <f t="shared" ca="1" si="6"/>
        <v>#NAME?</v>
      </c>
    </row>
    <row r="21" spans="1:50" ht="18" customHeight="1">
      <c r="A21" s="3">
        <f t="shared" si="8"/>
        <v>3</v>
      </c>
      <c r="B21" s="23" t="s">
        <v>21</v>
      </c>
      <c r="C21" s="24" t="e">
        <f t="shared" ca="1" si="15"/>
        <v>#NAME?</v>
      </c>
      <c r="D21" s="25">
        <v>1</v>
      </c>
      <c r="E21" s="26"/>
      <c r="F21" s="33">
        <v>1</v>
      </c>
      <c r="G21" s="28"/>
      <c r="H21" s="34">
        <v>1</v>
      </c>
      <c r="I21" s="2"/>
      <c r="J21" s="2"/>
      <c r="K21" s="29" t="e">
        <f t="shared" si="9"/>
        <v>#REF!</v>
      </c>
      <c r="L21" s="29" t="e">
        <f t="shared" si="10"/>
        <v>#REF!</v>
      </c>
      <c r="M21" s="29" t="e">
        <f t="shared" si="11"/>
        <v>#REF!</v>
      </c>
      <c r="N21" s="30" t="e">
        <f t="shared" si="12"/>
        <v>#REF!</v>
      </c>
      <c r="O21" s="82" t="e">
        <f t="shared" si="13"/>
        <v>#REF!</v>
      </c>
      <c r="P21" s="82" t="e">
        <f t="shared" si="14"/>
        <v>#REF!</v>
      </c>
      <c r="Q21" s="3"/>
      <c r="R21" s="133" t="e">
        <f t="shared" ca="1" si="7"/>
        <v>#NAME?</v>
      </c>
      <c r="S21" s="117"/>
      <c r="T21" s="117"/>
      <c r="U21" s="4"/>
      <c r="V21" s="4"/>
      <c r="W21" s="4"/>
      <c r="X21" s="4"/>
      <c r="Y21" s="4"/>
      <c r="Z21" s="4"/>
      <c r="AA21" s="100" t="e">
        <f ca="1">SUM(AA9:AA20)</f>
        <v>#NAME?</v>
      </c>
      <c r="AB21" s="99"/>
      <c r="AC21" s="100" t="e">
        <f ca="1">SUM(AC9:AC20)</f>
        <v>#NAME?</v>
      </c>
      <c r="AD21" s="99"/>
      <c r="AE21" s="100" t="e">
        <f ca="1">SUM(AE9:AE20)</f>
        <v>#NAME?</v>
      </c>
      <c r="AF21" s="99"/>
      <c r="AG21" s="4"/>
      <c r="AH21" s="4"/>
      <c r="AI21" s="155" t="e">
        <f ca="1">AVERAGE(AI9:AI20)</f>
        <v>#NAME?</v>
      </c>
      <c r="AJ21" s="99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3"/>
      <c r="AX21" s="3"/>
    </row>
    <row r="22" spans="1:50" ht="18" customHeight="1">
      <c r="A22" s="3">
        <f t="shared" si="8"/>
        <v>0</v>
      </c>
      <c r="B22" s="23" t="s">
        <v>21</v>
      </c>
      <c r="C22" s="24" t="e">
        <f t="shared" ca="1" si="15"/>
        <v>#NAME?</v>
      </c>
      <c r="D22" s="25"/>
      <c r="E22" s="26"/>
      <c r="F22" s="27" t="s">
        <v>14</v>
      </c>
      <c r="G22" s="28"/>
      <c r="H22" s="34"/>
      <c r="I22" s="2"/>
      <c r="J22" s="2"/>
      <c r="K22" s="29" t="e">
        <f t="shared" si="9"/>
        <v>#REF!</v>
      </c>
      <c r="L22" s="29" t="e">
        <f t="shared" si="10"/>
        <v>#REF!</v>
      </c>
      <c r="M22" s="29">
        <f t="shared" si="11"/>
        <v>2.875</v>
      </c>
      <c r="N22" s="30" t="e">
        <f t="shared" si="12"/>
        <v>#REF!</v>
      </c>
      <c r="O22" s="82" t="e">
        <f t="shared" si="13"/>
        <v>#REF!</v>
      </c>
      <c r="P22" s="82">
        <f t="shared" si="14"/>
        <v>1</v>
      </c>
      <c r="Q22" s="3"/>
      <c r="R22" s="36" t="e">
        <f ca="1">MONTH(K9)</f>
        <v>#NAME?</v>
      </c>
      <c r="S22" s="37"/>
      <c r="T22" s="37"/>
      <c r="U22" s="37"/>
      <c r="V22" s="37"/>
      <c r="W22" s="37"/>
      <c r="X22" s="37"/>
      <c r="Y22" s="2"/>
      <c r="Z22" s="36" t="e">
        <f ca="1">IF(R22+1=13,1,R22+1)</f>
        <v>#NAME?</v>
      </c>
      <c r="AA22" s="2"/>
      <c r="AB22" s="2"/>
      <c r="AC22" s="2"/>
      <c r="AD22" s="2"/>
      <c r="AE22" s="2"/>
      <c r="AF22" s="2"/>
      <c r="AG22" s="2"/>
      <c r="AH22" s="36" t="e">
        <f ca="1">IF(Z22+1=13,1,Z22+1)</f>
        <v>#NAME?</v>
      </c>
      <c r="AI22" s="2"/>
      <c r="AJ22" s="2"/>
      <c r="AK22" s="2"/>
      <c r="AL22" s="2"/>
      <c r="AM22" s="2"/>
      <c r="AN22" s="2"/>
      <c r="AO22" s="2"/>
      <c r="AP22" s="36" t="e">
        <f ca="1">IF(AH22+1&gt;12,AH22+1-12,AH22+1)</f>
        <v>#NAME?</v>
      </c>
      <c r="AQ22" s="2"/>
      <c r="AR22" s="2"/>
      <c r="AS22" s="2"/>
      <c r="AT22" s="2"/>
      <c r="AU22" s="2"/>
      <c r="AV22" s="2"/>
      <c r="AW22" s="3"/>
      <c r="AX22" s="3"/>
    </row>
    <row r="23" spans="1:50" ht="18" customHeight="1">
      <c r="A23" s="3">
        <f t="shared" si="8"/>
        <v>2</v>
      </c>
      <c r="B23" s="38" t="s">
        <v>21</v>
      </c>
      <c r="C23" s="39" t="e">
        <f t="shared" ca="1" si="15"/>
        <v>#NAME?</v>
      </c>
      <c r="D23" s="25">
        <v>1</v>
      </c>
      <c r="E23" s="26"/>
      <c r="F23" s="27"/>
      <c r="G23" s="28"/>
      <c r="H23" s="34">
        <v>1</v>
      </c>
      <c r="I23" s="2"/>
      <c r="J23" s="2"/>
      <c r="K23" s="29" t="e">
        <f t="shared" si="9"/>
        <v>#REF!</v>
      </c>
      <c r="L23" s="29" t="e">
        <f t="shared" si="10"/>
        <v>#REF!</v>
      </c>
      <c r="M23" s="29">
        <f t="shared" si="11"/>
        <v>2.875</v>
      </c>
      <c r="N23" s="30">
        <f t="shared" si="12"/>
        <v>5</v>
      </c>
      <c r="O23" s="82">
        <f t="shared" si="13"/>
        <v>5</v>
      </c>
      <c r="P23" s="82">
        <f t="shared" si="14"/>
        <v>1</v>
      </c>
      <c r="Q23" s="3"/>
      <c r="R23" s="37"/>
      <c r="S23" s="37"/>
      <c r="T23" s="37"/>
      <c r="U23" s="37"/>
      <c r="V23" s="37"/>
      <c r="W23" s="37"/>
      <c r="X23" s="37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3"/>
      <c r="AX23" s="3"/>
    </row>
    <row r="24" spans="1:50" ht="18" customHeight="1">
      <c r="A24" s="3">
        <f t="shared" si="8"/>
        <v>2</v>
      </c>
      <c r="B24" s="23" t="s">
        <v>21</v>
      </c>
      <c r="C24" s="24" t="e">
        <f t="shared" ca="1" si="15"/>
        <v>#NAME?</v>
      </c>
      <c r="D24" s="25">
        <v>1</v>
      </c>
      <c r="E24" s="26"/>
      <c r="F24" s="27">
        <v>1</v>
      </c>
      <c r="G24" s="28"/>
      <c r="H24" s="34"/>
      <c r="I24" s="2"/>
      <c r="J24" s="2"/>
      <c r="K24" s="29">
        <f t="shared" si="9"/>
        <v>2.7</v>
      </c>
      <c r="L24" s="29">
        <f t="shared" si="10"/>
        <v>2.875</v>
      </c>
      <c r="M24" s="29">
        <f t="shared" si="11"/>
        <v>2.875</v>
      </c>
      <c r="N24" s="30">
        <f t="shared" si="12"/>
        <v>3</v>
      </c>
      <c r="O24" s="31">
        <f t="shared" ref="O24:O66" si="16">($E$10*10)-SUM(LARGE(A13:A24,1), LARGE(A13:A24,2),LARGE(A13:A24,3), LARGE(A13:A24,4),LARGE(A13:A24,5), LARGE(A13:A24,6),LARGE(A13:A24,7), LARGE(A13:A24,8),LARGE(A13:A24,9), LARGE(A13:A24,10))</f>
        <v>3</v>
      </c>
      <c r="P24" s="82">
        <f t="shared" si="14"/>
        <v>1</v>
      </c>
      <c r="Q24" s="3"/>
      <c r="R24" s="107" t="e">
        <f ca="1">_xludf.IFS(R22=1,"J A N U A R Y",R22=2,"F E B R U A R Y",R22=3,"M A R C H",R22=4,"A P R I L",R22=5, "M A Y",R22=6, "J U N E",R22=7, "J U L Y",R22=8,"A U G U S T ",R22=9,"S E P T E M B E R ",R22=10,"O C T O B E R",R22=11,"N O V E M B E R",R22=12,"D E C E M B E R")</f>
        <v>#NAME?</v>
      </c>
      <c r="S24" s="108"/>
      <c r="T24" s="108"/>
      <c r="U24" s="108"/>
      <c r="V24" s="108"/>
      <c r="W24" s="108"/>
      <c r="X24" s="109"/>
      <c r="Y24" s="4"/>
      <c r="Z24" s="113" t="e">
        <f ca="1">_xludf.IFS(Z22=1,"J A N U A R Y",Z22=2,"F E B R U A R Y",Z22=3,"M A R C H",Z22=4,"A P R I L",Z22=5, "M A Y",Z22=6, "J U N E",Z22=7, "J U L Y",Z22=8,"A U G U S T ",Z22=9,"S E P T E M B E R ",Z22=10,"O C T O B E R",Z22=11,"N O V E M B E R",Z22=12,"D E C E M B E R")</f>
        <v>#NAME?</v>
      </c>
      <c r="AA24" s="108"/>
      <c r="AB24" s="108"/>
      <c r="AC24" s="108"/>
      <c r="AD24" s="108"/>
      <c r="AE24" s="108"/>
      <c r="AF24" s="109"/>
      <c r="AG24" s="4"/>
      <c r="AH24" s="115" t="e">
        <f ca="1">_xludf.IFS(AH22=1,"J A N U A R Y",AH22=2,"F E B R U A R Y",AH22=3,"M A R C H",AH22=4,"A P R I L",AH22=5, "M A Y",AH22=6, "J U N E",AH22=7, "J U L Y",AH22=8,"A U G U S T ",AH22=9,"S E P T E M B E R ",AH22=10,"O C T O B E R",AH22=11,"N O V E M B E R",AH22=12,"D E C E M B E R")</f>
        <v>#NAME?</v>
      </c>
      <c r="AI24" s="108"/>
      <c r="AJ24" s="108"/>
      <c r="AK24" s="108"/>
      <c r="AL24" s="108"/>
      <c r="AM24" s="108"/>
      <c r="AN24" s="109"/>
      <c r="AO24" s="4"/>
      <c r="AP24" s="118" t="e">
        <f ca="1">_xludf.IFS(AP22=1,"J A N U A R Y",AP22=2,"F E B R U A R Y",AP22=3,"M A R C H",AP22=4,"A P R I L",AP22=5, "M A Y",AP22=6, "J U N E",AP22=7, "J U L Y",AP22=8,"A U G U S T ",AP22=9,"S E P T E M B E R ",AP22=10,"O C T O B E R",AP22=11,"N O V E M B E R",AP22=12,"D E C E M B E R")</f>
        <v>#NAME?</v>
      </c>
      <c r="AQ24" s="108"/>
      <c r="AR24" s="108"/>
      <c r="AS24" s="108"/>
      <c r="AT24" s="108"/>
      <c r="AU24" s="108"/>
      <c r="AV24" s="109"/>
      <c r="AW24" s="3"/>
      <c r="AX24" s="3"/>
    </row>
    <row r="25" spans="1:50" ht="18.75" customHeight="1">
      <c r="A25" s="3">
        <f t="shared" si="8"/>
        <v>0</v>
      </c>
      <c r="B25" s="23" t="s">
        <v>21</v>
      </c>
      <c r="C25" s="24" t="e">
        <f t="shared" ca="1" si="15"/>
        <v>#NAME?</v>
      </c>
      <c r="D25" s="25"/>
      <c r="E25" s="26" t="s">
        <v>15</v>
      </c>
      <c r="F25" s="27"/>
      <c r="G25" s="28"/>
      <c r="H25" s="34"/>
      <c r="I25" s="2"/>
      <c r="J25" s="2"/>
      <c r="K25" s="29">
        <f t="shared" si="9"/>
        <v>2.7</v>
      </c>
      <c r="L25" s="29">
        <f t="shared" si="10"/>
        <v>2.875</v>
      </c>
      <c r="M25" s="29">
        <f t="shared" si="11"/>
        <v>2.625</v>
      </c>
      <c r="N25" s="30">
        <f t="shared" si="12"/>
        <v>3</v>
      </c>
      <c r="O25" s="31">
        <f t="shared" si="16"/>
        <v>3</v>
      </c>
      <c r="P25" s="82">
        <f t="shared" si="14"/>
        <v>3</v>
      </c>
      <c r="Q25" s="3"/>
      <c r="R25" s="110"/>
      <c r="S25" s="111"/>
      <c r="T25" s="111"/>
      <c r="U25" s="111"/>
      <c r="V25" s="111"/>
      <c r="W25" s="111"/>
      <c r="X25" s="112"/>
      <c r="Y25" s="4"/>
      <c r="Z25" s="110"/>
      <c r="AA25" s="111"/>
      <c r="AB25" s="111"/>
      <c r="AC25" s="111"/>
      <c r="AD25" s="111"/>
      <c r="AE25" s="111"/>
      <c r="AF25" s="112"/>
      <c r="AG25" s="4"/>
      <c r="AH25" s="110"/>
      <c r="AI25" s="111"/>
      <c r="AJ25" s="111"/>
      <c r="AK25" s="111"/>
      <c r="AL25" s="111"/>
      <c r="AM25" s="111"/>
      <c r="AN25" s="112"/>
      <c r="AO25" s="4"/>
      <c r="AP25" s="110"/>
      <c r="AQ25" s="111"/>
      <c r="AR25" s="111"/>
      <c r="AS25" s="111"/>
      <c r="AT25" s="111"/>
      <c r="AU25" s="111"/>
      <c r="AV25" s="112"/>
      <c r="AW25" s="3"/>
      <c r="AX25" s="3"/>
    </row>
    <row r="26" spans="1:50" ht="18" customHeight="1">
      <c r="A26" s="3">
        <f t="shared" si="8"/>
        <v>4</v>
      </c>
      <c r="B26" s="23" t="s">
        <v>21</v>
      </c>
      <c r="C26" s="24" t="e">
        <f t="shared" ca="1" si="15"/>
        <v>#NAME?</v>
      </c>
      <c r="D26" s="25">
        <v>1</v>
      </c>
      <c r="E26" s="26">
        <v>1</v>
      </c>
      <c r="F26" s="27">
        <v>1</v>
      </c>
      <c r="G26" s="28">
        <v>1</v>
      </c>
      <c r="H26" s="34"/>
      <c r="I26" s="2"/>
      <c r="J26" s="2"/>
      <c r="K26" s="29">
        <f t="shared" si="9"/>
        <v>2.9</v>
      </c>
      <c r="L26" s="29">
        <f t="shared" si="10"/>
        <v>3.125</v>
      </c>
      <c r="M26" s="29">
        <f t="shared" si="11"/>
        <v>2.875</v>
      </c>
      <c r="N26" s="30">
        <f t="shared" si="12"/>
        <v>1</v>
      </c>
      <c r="O26" s="31">
        <f t="shared" si="16"/>
        <v>1</v>
      </c>
      <c r="P26" s="82">
        <f t="shared" si="14"/>
        <v>1</v>
      </c>
      <c r="Q26" s="3"/>
      <c r="R26" s="40" t="s">
        <v>16</v>
      </c>
      <c r="S26" s="41" t="s">
        <v>17</v>
      </c>
      <c r="T26" s="41" t="s">
        <v>6</v>
      </c>
      <c r="U26" s="41" t="s">
        <v>18</v>
      </c>
      <c r="V26" s="41" t="s">
        <v>19</v>
      </c>
      <c r="W26" s="41" t="s">
        <v>22</v>
      </c>
      <c r="X26" s="42" t="s">
        <v>23</v>
      </c>
      <c r="Y26" s="43"/>
      <c r="Z26" s="38" t="s">
        <v>16</v>
      </c>
      <c r="AA26" s="39" t="s">
        <v>17</v>
      </c>
      <c r="AB26" s="39" t="s">
        <v>6</v>
      </c>
      <c r="AC26" s="39" t="s">
        <v>18</v>
      </c>
      <c r="AD26" s="39" t="s">
        <v>19</v>
      </c>
      <c r="AE26" s="39" t="s">
        <v>22</v>
      </c>
      <c r="AF26" s="44" t="s">
        <v>23</v>
      </c>
      <c r="AG26" s="43"/>
      <c r="AH26" s="45" t="s">
        <v>16</v>
      </c>
      <c r="AI26" s="46" t="s">
        <v>17</v>
      </c>
      <c r="AJ26" s="46" t="s">
        <v>6</v>
      </c>
      <c r="AK26" s="46" t="s">
        <v>18</v>
      </c>
      <c r="AL26" s="46" t="s">
        <v>19</v>
      </c>
      <c r="AM26" s="46" t="s">
        <v>22</v>
      </c>
      <c r="AN26" s="47" t="s">
        <v>23</v>
      </c>
      <c r="AO26" s="43"/>
      <c r="AP26" s="48" t="s">
        <v>16</v>
      </c>
      <c r="AQ26" s="49" t="s">
        <v>17</v>
      </c>
      <c r="AR26" s="49" t="s">
        <v>6</v>
      </c>
      <c r="AS26" s="49" t="s">
        <v>18</v>
      </c>
      <c r="AT26" s="49" t="s">
        <v>19</v>
      </c>
      <c r="AU26" s="49" t="s">
        <v>22</v>
      </c>
      <c r="AV26" s="50" t="s">
        <v>23</v>
      </c>
      <c r="AW26" s="3"/>
      <c r="AX26" s="3"/>
    </row>
    <row r="27" spans="1:50" ht="18" customHeight="1">
      <c r="A27" s="3">
        <f t="shared" si="8"/>
        <v>1</v>
      </c>
      <c r="B27" s="23" t="s">
        <v>21</v>
      </c>
      <c r="C27" s="24" t="e">
        <f t="shared" ca="1" si="15"/>
        <v>#NAME?</v>
      </c>
      <c r="D27" s="25"/>
      <c r="E27" s="26"/>
      <c r="F27" s="27"/>
      <c r="G27" s="28">
        <v>1</v>
      </c>
      <c r="H27" s="34"/>
      <c r="I27" s="2"/>
      <c r="J27" s="2"/>
      <c r="K27" s="29">
        <f t="shared" si="9"/>
        <v>2.6</v>
      </c>
      <c r="L27" s="29">
        <f t="shared" si="10"/>
        <v>2.875</v>
      </c>
      <c r="M27" s="29">
        <f t="shared" si="11"/>
        <v>2.625</v>
      </c>
      <c r="N27" s="30">
        <f t="shared" si="12"/>
        <v>4</v>
      </c>
      <c r="O27" s="31">
        <f t="shared" si="16"/>
        <v>4</v>
      </c>
      <c r="P27" s="82">
        <f t="shared" si="14"/>
        <v>3</v>
      </c>
      <c r="Q27" s="51" t="e">
        <f ca="1">IF(Q28=1, 52, Q28-1)</f>
        <v>#NAME?</v>
      </c>
      <c r="R27" s="52" t="e">
        <f ca="1">R28-7</f>
        <v>#NAME?</v>
      </c>
      <c r="S27" s="53" t="e">
        <f t="shared" ref="S27:X27" ca="1" si="17">R27+1</f>
        <v>#NAME?</v>
      </c>
      <c r="T27" s="53" t="e">
        <f t="shared" ca="1" si="17"/>
        <v>#NAME?</v>
      </c>
      <c r="U27" s="53" t="e">
        <f t="shared" ca="1" si="17"/>
        <v>#NAME?</v>
      </c>
      <c r="V27" s="53" t="e">
        <f t="shared" ca="1" si="17"/>
        <v>#NAME?</v>
      </c>
      <c r="W27" s="54" t="e">
        <f t="shared" ca="1" si="17"/>
        <v>#NAME?</v>
      </c>
      <c r="X27" s="55" t="e">
        <f t="shared" ca="1" si="17"/>
        <v>#NAME?</v>
      </c>
      <c r="Y27" s="51" t="e">
        <f ca="1">Y28-1</f>
        <v>#NAME?</v>
      </c>
      <c r="Z27" s="52" t="e">
        <f ca="1">Z28-7</f>
        <v>#NAME?</v>
      </c>
      <c r="AA27" s="53" t="e">
        <f t="shared" ref="AA27:AF27" ca="1" si="18">Z27+1</f>
        <v>#NAME?</v>
      </c>
      <c r="AB27" s="53" t="e">
        <f t="shared" ca="1" si="18"/>
        <v>#NAME?</v>
      </c>
      <c r="AC27" s="53" t="e">
        <f t="shared" ca="1" si="18"/>
        <v>#NAME?</v>
      </c>
      <c r="AD27" s="53" t="e">
        <f t="shared" ca="1" si="18"/>
        <v>#NAME?</v>
      </c>
      <c r="AE27" s="56" t="e">
        <f t="shared" ca="1" si="18"/>
        <v>#NAME?</v>
      </c>
      <c r="AF27" s="57" t="e">
        <f t="shared" ca="1" si="18"/>
        <v>#NAME?</v>
      </c>
      <c r="AG27" s="51" t="e">
        <f ca="1">AG28-1</f>
        <v>#NAME?</v>
      </c>
      <c r="AH27" s="52" t="e">
        <f ca="1">AH28-7</f>
        <v>#NAME?</v>
      </c>
      <c r="AI27" s="53" t="e">
        <f t="shared" ref="AI27:AN27" ca="1" si="19">AH27+1</f>
        <v>#NAME?</v>
      </c>
      <c r="AJ27" s="53" t="e">
        <f t="shared" ca="1" si="19"/>
        <v>#NAME?</v>
      </c>
      <c r="AK27" s="53" t="e">
        <f t="shared" ca="1" si="19"/>
        <v>#NAME?</v>
      </c>
      <c r="AL27" s="53" t="e">
        <f t="shared" ca="1" si="19"/>
        <v>#NAME?</v>
      </c>
      <c r="AM27" s="58" t="e">
        <f t="shared" ca="1" si="19"/>
        <v>#NAME?</v>
      </c>
      <c r="AN27" s="59" t="e">
        <f t="shared" ca="1" si="19"/>
        <v>#NAME?</v>
      </c>
      <c r="AO27" s="51" t="e">
        <f ca="1">AO28-1</f>
        <v>#NAME?</v>
      </c>
      <c r="AP27" s="52" t="e">
        <f ca="1">AP28-7</f>
        <v>#NAME?</v>
      </c>
      <c r="AQ27" s="53" t="e">
        <f t="shared" ref="AQ27:AV27" ca="1" si="20">AP27+1</f>
        <v>#NAME?</v>
      </c>
      <c r="AR27" s="53" t="e">
        <f t="shared" ca="1" si="20"/>
        <v>#NAME?</v>
      </c>
      <c r="AS27" s="53" t="e">
        <f t="shared" ca="1" si="20"/>
        <v>#NAME?</v>
      </c>
      <c r="AT27" s="53" t="e">
        <f t="shared" ca="1" si="20"/>
        <v>#NAME?</v>
      </c>
      <c r="AU27" s="60" t="e">
        <f t="shared" ca="1" si="20"/>
        <v>#NAME?</v>
      </c>
      <c r="AV27" s="61" t="e">
        <f t="shared" ca="1" si="20"/>
        <v>#NAME?</v>
      </c>
      <c r="AW27" s="3"/>
      <c r="AX27" s="3"/>
    </row>
    <row r="28" spans="1:50" ht="18.75" customHeight="1">
      <c r="A28" s="3">
        <f t="shared" si="8"/>
        <v>1</v>
      </c>
      <c r="B28" s="23" t="s">
        <v>21</v>
      </c>
      <c r="C28" s="24" t="e">
        <f t="shared" ca="1" si="15"/>
        <v>#NAME?</v>
      </c>
      <c r="D28" s="25"/>
      <c r="E28" s="26">
        <v>1</v>
      </c>
      <c r="F28" s="27"/>
      <c r="G28" s="28"/>
      <c r="H28" s="34"/>
      <c r="I28" s="2"/>
      <c r="J28" s="2"/>
      <c r="K28" s="29">
        <f t="shared" si="9"/>
        <v>2.5</v>
      </c>
      <c r="L28" s="29">
        <f t="shared" si="10"/>
        <v>2.875</v>
      </c>
      <c r="M28" s="29">
        <f t="shared" si="11"/>
        <v>2.375</v>
      </c>
      <c r="N28" s="30">
        <f t="shared" si="12"/>
        <v>5</v>
      </c>
      <c r="O28" s="31">
        <f t="shared" si="16"/>
        <v>5</v>
      </c>
      <c r="P28" s="82">
        <f t="shared" si="14"/>
        <v>5</v>
      </c>
      <c r="Q28" s="51" t="e">
        <f ca="1">WEEKNUM((DATE(YEAR(A1),MONTH(A1),1+1*7)-WEEKDAY(DATE(YEAR(A1),MONTH(A1),8-2))))</f>
        <v>#NAME?</v>
      </c>
      <c r="R28" s="62" t="e">
        <f ca="1">DATE(YEAR(A1),MONTH(A1),1+1*7)-WEEKDAY(DATE(YEAR(A1),MONTH(A1),8-2))</f>
        <v>#NAME?</v>
      </c>
      <c r="S28" s="63" t="e">
        <f t="shared" ref="S28:X28" ca="1" si="21">S27+7</f>
        <v>#NAME?</v>
      </c>
      <c r="T28" s="63" t="e">
        <f t="shared" ca="1" si="21"/>
        <v>#NAME?</v>
      </c>
      <c r="U28" s="63" t="e">
        <f t="shared" ca="1" si="21"/>
        <v>#NAME?</v>
      </c>
      <c r="V28" s="63" t="e">
        <f t="shared" ca="1" si="21"/>
        <v>#NAME?</v>
      </c>
      <c r="W28" s="64" t="e">
        <f t="shared" ca="1" si="21"/>
        <v>#NAME?</v>
      </c>
      <c r="X28" s="65" t="e">
        <f t="shared" ca="1" si="21"/>
        <v>#NAME?</v>
      </c>
      <c r="Y28" s="51" t="e">
        <f ca="1">WEEKNUM(DATE(YEAR(A1),MONTH(A1)+1,1+1*7)-WEEKDAY(DATE(YEAR(A1),MONTH(A1)+1,8-2)))</f>
        <v>#NAME?</v>
      </c>
      <c r="Z28" s="62" t="e">
        <f ca="1">DATE(YEAR(A1),MONTH(A1)+1,1+1*7)-WEEKDAY(DATE(YEAR(A1),MONTH(A1)+1,8-2))</f>
        <v>#NAME?</v>
      </c>
      <c r="AA28" s="63" t="e">
        <f t="shared" ref="AA28:AF28" ca="1" si="22">AA27+7</f>
        <v>#NAME?</v>
      </c>
      <c r="AB28" s="63" t="e">
        <f t="shared" ca="1" si="22"/>
        <v>#NAME?</v>
      </c>
      <c r="AC28" s="63" t="e">
        <f t="shared" ca="1" si="22"/>
        <v>#NAME?</v>
      </c>
      <c r="AD28" s="63" t="e">
        <f t="shared" ca="1" si="22"/>
        <v>#NAME?</v>
      </c>
      <c r="AE28" s="66" t="e">
        <f t="shared" ca="1" si="22"/>
        <v>#NAME?</v>
      </c>
      <c r="AF28" s="67" t="e">
        <f t="shared" ca="1" si="22"/>
        <v>#NAME?</v>
      </c>
      <c r="AG28" s="51" t="e">
        <f ca="1">WEEKNUM(DATE(YEAR(A1),MONTH(A1)+2,1+1*7)-WEEKDAY(DATE(YEAR(A1),MONTH(A1)+2,8-2)))</f>
        <v>#NAME?</v>
      </c>
      <c r="AH28" s="62" t="e">
        <f ca="1">DATE(YEAR(A1),MONTH(A1)+2,1+1*7)-WEEKDAY(DATE(YEAR(A1),MONTH(A1)+2,8-2))</f>
        <v>#NAME?</v>
      </c>
      <c r="AI28" s="63" t="e">
        <f t="shared" ref="AI28:AN28" ca="1" si="23">AI27+7</f>
        <v>#NAME?</v>
      </c>
      <c r="AJ28" s="63" t="e">
        <f t="shared" ca="1" si="23"/>
        <v>#NAME?</v>
      </c>
      <c r="AK28" s="63" t="e">
        <f t="shared" ca="1" si="23"/>
        <v>#NAME?</v>
      </c>
      <c r="AL28" s="63" t="e">
        <f t="shared" ca="1" si="23"/>
        <v>#NAME?</v>
      </c>
      <c r="AM28" s="68" t="e">
        <f t="shared" ca="1" si="23"/>
        <v>#NAME?</v>
      </c>
      <c r="AN28" s="69" t="e">
        <f t="shared" ca="1" si="23"/>
        <v>#NAME?</v>
      </c>
      <c r="AO28" s="51" t="e">
        <f ca="1">WEEKNUM(DATE(YEAR(A1),MONTH(A1)+3,1+1*7)-WEEKDAY(DATE(YEAR(A1),MONTH(A1)+3,8-2)))</f>
        <v>#NAME?</v>
      </c>
      <c r="AP28" s="62" t="e">
        <f ca="1">DATE(YEAR(A1),MONTH(A1)+3,1+1*7)-WEEKDAY(DATE(YEAR(A1),MONTH(A1)+3,8-2))</f>
        <v>#NAME?</v>
      </c>
      <c r="AQ28" s="63" t="e">
        <f t="shared" ref="AQ28:AV28" ca="1" si="24">AQ27+7</f>
        <v>#NAME?</v>
      </c>
      <c r="AR28" s="63" t="e">
        <f t="shared" ca="1" si="24"/>
        <v>#NAME?</v>
      </c>
      <c r="AS28" s="63" t="e">
        <f t="shared" ca="1" si="24"/>
        <v>#NAME?</v>
      </c>
      <c r="AT28" s="63" t="e">
        <f t="shared" ca="1" si="24"/>
        <v>#NAME?</v>
      </c>
      <c r="AU28" s="70" t="e">
        <f t="shared" ca="1" si="24"/>
        <v>#NAME?</v>
      </c>
      <c r="AV28" s="71" t="e">
        <f t="shared" ca="1" si="24"/>
        <v>#NAME?</v>
      </c>
      <c r="AW28" s="3"/>
      <c r="AX28" s="3"/>
    </row>
    <row r="29" spans="1:50" ht="18.75" customHeight="1">
      <c r="A29" s="3">
        <f t="shared" si="8"/>
        <v>0</v>
      </c>
      <c r="B29" s="38" t="s">
        <v>21</v>
      </c>
      <c r="C29" s="39" t="e">
        <f t="shared" ca="1" si="15"/>
        <v>#NAME?</v>
      </c>
      <c r="D29" s="25"/>
      <c r="E29" s="26"/>
      <c r="F29" s="27"/>
      <c r="G29" s="28"/>
      <c r="H29" s="34"/>
      <c r="I29" s="2"/>
      <c r="J29" s="2"/>
      <c r="K29" s="29">
        <f t="shared" si="9"/>
        <v>2.2000000000000002</v>
      </c>
      <c r="L29" s="29">
        <f t="shared" si="10"/>
        <v>2.625</v>
      </c>
      <c r="M29" s="29">
        <f t="shared" si="11"/>
        <v>1.875</v>
      </c>
      <c r="N29" s="30">
        <f t="shared" si="12"/>
        <v>5</v>
      </c>
      <c r="O29" s="31">
        <f t="shared" si="16"/>
        <v>8</v>
      </c>
      <c r="P29" s="82">
        <f t="shared" si="14"/>
        <v>9</v>
      </c>
      <c r="Q29" s="51" t="e">
        <f t="shared" ref="Q29:Q31" ca="1" si="25">Q28+1</f>
        <v>#NAME?</v>
      </c>
      <c r="R29" s="62" t="e">
        <f t="shared" ref="R29:X29" ca="1" si="26">R28+7</f>
        <v>#NAME?</v>
      </c>
      <c r="S29" s="63" t="e">
        <f t="shared" ca="1" si="26"/>
        <v>#NAME?</v>
      </c>
      <c r="T29" s="63" t="e">
        <f t="shared" ca="1" si="26"/>
        <v>#NAME?</v>
      </c>
      <c r="U29" s="63" t="e">
        <f t="shared" ca="1" si="26"/>
        <v>#NAME?</v>
      </c>
      <c r="V29" s="63" t="e">
        <f t="shared" ca="1" si="26"/>
        <v>#NAME?</v>
      </c>
      <c r="W29" s="64" t="e">
        <f t="shared" ca="1" si="26"/>
        <v>#NAME?</v>
      </c>
      <c r="X29" s="65" t="e">
        <f t="shared" ca="1" si="26"/>
        <v>#NAME?</v>
      </c>
      <c r="Y29" s="51" t="e">
        <f t="shared" ref="Y29:Y31" ca="1" si="27">Y28+1</f>
        <v>#NAME?</v>
      </c>
      <c r="Z29" s="62" t="e">
        <f t="shared" ref="Z29:AF29" ca="1" si="28">Z28+7</f>
        <v>#NAME?</v>
      </c>
      <c r="AA29" s="63" t="e">
        <f t="shared" ca="1" si="28"/>
        <v>#NAME?</v>
      </c>
      <c r="AB29" s="63" t="e">
        <f t="shared" ca="1" si="28"/>
        <v>#NAME?</v>
      </c>
      <c r="AC29" s="63" t="e">
        <f t="shared" ca="1" si="28"/>
        <v>#NAME?</v>
      </c>
      <c r="AD29" s="63" t="e">
        <f t="shared" ca="1" si="28"/>
        <v>#NAME?</v>
      </c>
      <c r="AE29" s="66" t="e">
        <f t="shared" ca="1" si="28"/>
        <v>#NAME?</v>
      </c>
      <c r="AF29" s="67" t="e">
        <f t="shared" ca="1" si="28"/>
        <v>#NAME?</v>
      </c>
      <c r="AG29" s="51" t="e">
        <f t="shared" ref="AG29:AG31" ca="1" si="29">AG28+1</f>
        <v>#NAME?</v>
      </c>
      <c r="AH29" s="62" t="e">
        <f t="shared" ref="AH29:AN29" ca="1" si="30">AH28+7</f>
        <v>#NAME?</v>
      </c>
      <c r="AI29" s="63" t="e">
        <f t="shared" ca="1" si="30"/>
        <v>#NAME?</v>
      </c>
      <c r="AJ29" s="63" t="e">
        <f t="shared" ca="1" si="30"/>
        <v>#NAME?</v>
      </c>
      <c r="AK29" s="63" t="e">
        <f t="shared" ca="1" si="30"/>
        <v>#NAME?</v>
      </c>
      <c r="AL29" s="63" t="e">
        <f t="shared" ca="1" si="30"/>
        <v>#NAME?</v>
      </c>
      <c r="AM29" s="68" t="e">
        <f t="shared" ca="1" si="30"/>
        <v>#NAME?</v>
      </c>
      <c r="AN29" s="69" t="e">
        <f t="shared" ca="1" si="30"/>
        <v>#NAME?</v>
      </c>
      <c r="AO29" s="51" t="e">
        <f t="shared" ref="AO29:AO31" ca="1" si="31">AO28+1</f>
        <v>#NAME?</v>
      </c>
      <c r="AP29" s="62" t="e">
        <f t="shared" ref="AP29:AV29" ca="1" si="32">AP28+7</f>
        <v>#NAME?</v>
      </c>
      <c r="AQ29" s="63" t="e">
        <f t="shared" ca="1" si="32"/>
        <v>#NAME?</v>
      </c>
      <c r="AR29" s="63" t="e">
        <f t="shared" ca="1" si="32"/>
        <v>#NAME?</v>
      </c>
      <c r="AS29" s="63" t="e">
        <f t="shared" ca="1" si="32"/>
        <v>#NAME?</v>
      </c>
      <c r="AT29" s="63" t="e">
        <f t="shared" ca="1" si="32"/>
        <v>#NAME?</v>
      </c>
      <c r="AU29" s="70" t="e">
        <f t="shared" ca="1" si="32"/>
        <v>#NAME?</v>
      </c>
      <c r="AV29" s="71" t="e">
        <f t="shared" ca="1" si="32"/>
        <v>#NAME?</v>
      </c>
      <c r="AW29" s="3"/>
      <c r="AX29" s="3"/>
    </row>
    <row r="30" spans="1:50" ht="18.75" customHeight="1">
      <c r="A30" s="3">
        <f t="shared" si="8"/>
        <v>1</v>
      </c>
      <c r="B30" s="23" t="s">
        <v>21</v>
      </c>
      <c r="C30" s="24" t="e">
        <f t="shared" ca="1" si="15"/>
        <v>#NAME?</v>
      </c>
      <c r="D30" s="25"/>
      <c r="E30" s="32"/>
      <c r="F30" s="27"/>
      <c r="G30" s="28"/>
      <c r="H30" s="34">
        <v>1</v>
      </c>
      <c r="I30" s="2"/>
      <c r="J30" s="2"/>
      <c r="K30" s="29">
        <f t="shared" si="9"/>
        <v>2</v>
      </c>
      <c r="L30" s="29">
        <f t="shared" si="10"/>
        <v>2.375</v>
      </c>
      <c r="M30" s="29">
        <f t="shared" si="11"/>
        <v>1.75</v>
      </c>
      <c r="N30" s="30">
        <f t="shared" si="12"/>
        <v>5</v>
      </c>
      <c r="O30" s="31">
        <f t="shared" si="16"/>
        <v>10</v>
      </c>
      <c r="P30" s="82">
        <f t="shared" si="14"/>
        <v>10</v>
      </c>
      <c r="Q30" s="51" t="e">
        <f t="shared" ca="1" si="25"/>
        <v>#NAME?</v>
      </c>
      <c r="R30" s="62" t="e">
        <f t="shared" ref="R30:X30" ca="1" si="33">R29+7</f>
        <v>#NAME?</v>
      </c>
      <c r="S30" s="63" t="e">
        <f t="shared" ca="1" si="33"/>
        <v>#NAME?</v>
      </c>
      <c r="T30" s="63" t="e">
        <f t="shared" ca="1" si="33"/>
        <v>#NAME?</v>
      </c>
      <c r="U30" s="63" t="e">
        <f t="shared" ca="1" si="33"/>
        <v>#NAME?</v>
      </c>
      <c r="V30" s="63" t="e">
        <f t="shared" ca="1" si="33"/>
        <v>#NAME?</v>
      </c>
      <c r="W30" s="64" t="e">
        <f t="shared" ca="1" si="33"/>
        <v>#NAME?</v>
      </c>
      <c r="X30" s="65" t="e">
        <f t="shared" ca="1" si="33"/>
        <v>#NAME?</v>
      </c>
      <c r="Y30" s="51" t="e">
        <f t="shared" ca="1" si="27"/>
        <v>#NAME?</v>
      </c>
      <c r="Z30" s="62" t="e">
        <f t="shared" ref="Z30:AF30" ca="1" si="34">Z29+7</f>
        <v>#NAME?</v>
      </c>
      <c r="AA30" s="63" t="e">
        <f t="shared" ca="1" si="34"/>
        <v>#NAME?</v>
      </c>
      <c r="AB30" s="63" t="e">
        <f t="shared" ca="1" si="34"/>
        <v>#NAME?</v>
      </c>
      <c r="AC30" s="63" t="e">
        <f t="shared" ca="1" si="34"/>
        <v>#NAME?</v>
      </c>
      <c r="AD30" s="63" t="e">
        <f t="shared" ca="1" si="34"/>
        <v>#NAME?</v>
      </c>
      <c r="AE30" s="66" t="e">
        <f t="shared" ca="1" si="34"/>
        <v>#NAME?</v>
      </c>
      <c r="AF30" s="67" t="e">
        <f t="shared" ca="1" si="34"/>
        <v>#NAME?</v>
      </c>
      <c r="AG30" s="51" t="e">
        <f t="shared" ca="1" si="29"/>
        <v>#NAME?</v>
      </c>
      <c r="AH30" s="62" t="e">
        <f t="shared" ref="AH30:AN30" ca="1" si="35">AH29+7</f>
        <v>#NAME?</v>
      </c>
      <c r="AI30" s="63" t="e">
        <f t="shared" ca="1" si="35"/>
        <v>#NAME?</v>
      </c>
      <c r="AJ30" s="63" t="e">
        <f t="shared" ca="1" si="35"/>
        <v>#NAME?</v>
      </c>
      <c r="AK30" s="63" t="e">
        <f t="shared" ca="1" si="35"/>
        <v>#NAME?</v>
      </c>
      <c r="AL30" s="63" t="e">
        <f t="shared" ca="1" si="35"/>
        <v>#NAME?</v>
      </c>
      <c r="AM30" s="68" t="e">
        <f t="shared" ca="1" si="35"/>
        <v>#NAME?</v>
      </c>
      <c r="AN30" s="69" t="e">
        <f t="shared" ca="1" si="35"/>
        <v>#NAME?</v>
      </c>
      <c r="AO30" s="51" t="e">
        <f t="shared" ca="1" si="31"/>
        <v>#NAME?</v>
      </c>
      <c r="AP30" s="62" t="e">
        <f t="shared" ref="AP30:AV30" ca="1" si="36">AP29+7</f>
        <v>#NAME?</v>
      </c>
      <c r="AQ30" s="63" t="e">
        <f t="shared" ca="1" si="36"/>
        <v>#NAME?</v>
      </c>
      <c r="AR30" s="63" t="e">
        <f t="shared" ca="1" si="36"/>
        <v>#NAME?</v>
      </c>
      <c r="AS30" s="63" t="e">
        <f t="shared" ca="1" si="36"/>
        <v>#NAME?</v>
      </c>
      <c r="AT30" s="63" t="e">
        <f t="shared" ca="1" si="36"/>
        <v>#NAME?</v>
      </c>
      <c r="AU30" s="70" t="e">
        <f t="shared" ca="1" si="36"/>
        <v>#NAME?</v>
      </c>
      <c r="AV30" s="71" t="e">
        <f t="shared" ca="1" si="36"/>
        <v>#NAME?</v>
      </c>
      <c r="AW30" s="3"/>
      <c r="AX30" s="3"/>
    </row>
    <row r="31" spans="1:50" ht="18.75" customHeight="1">
      <c r="A31" s="3">
        <f t="shared" si="8"/>
        <v>1</v>
      </c>
      <c r="B31" s="23" t="s">
        <v>21</v>
      </c>
      <c r="C31" s="24" t="e">
        <f t="shared" ca="1" si="15"/>
        <v>#NAME?</v>
      </c>
      <c r="D31" s="25"/>
      <c r="E31" s="26">
        <v>1</v>
      </c>
      <c r="F31" s="27"/>
      <c r="G31" s="28"/>
      <c r="H31" s="34"/>
      <c r="I31" s="2"/>
      <c r="J31" s="2"/>
      <c r="K31" s="29">
        <f t="shared" si="9"/>
        <v>1.7</v>
      </c>
      <c r="L31" s="29">
        <f t="shared" si="10"/>
        <v>2</v>
      </c>
      <c r="M31" s="29">
        <f t="shared" si="11"/>
        <v>1.5</v>
      </c>
      <c r="N31" s="30">
        <f t="shared" si="12"/>
        <v>5</v>
      </c>
      <c r="O31" s="31">
        <f t="shared" si="16"/>
        <v>13</v>
      </c>
      <c r="P31" s="82">
        <f t="shared" si="14"/>
        <v>12</v>
      </c>
      <c r="Q31" s="51" t="e">
        <f t="shared" ca="1" si="25"/>
        <v>#NAME?</v>
      </c>
      <c r="R31" s="62" t="e">
        <f t="shared" ref="R31:X31" ca="1" si="37">R30+7</f>
        <v>#NAME?</v>
      </c>
      <c r="S31" s="63" t="e">
        <f t="shared" ca="1" si="37"/>
        <v>#NAME?</v>
      </c>
      <c r="T31" s="63" t="e">
        <f t="shared" ca="1" si="37"/>
        <v>#NAME?</v>
      </c>
      <c r="U31" s="63" t="e">
        <f t="shared" ca="1" si="37"/>
        <v>#NAME?</v>
      </c>
      <c r="V31" s="63" t="e">
        <f t="shared" ca="1" si="37"/>
        <v>#NAME?</v>
      </c>
      <c r="W31" s="64" t="e">
        <f t="shared" ca="1" si="37"/>
        <v>#NAME?</v>
      </c>
      <c r="X31" s="65" t="e">
        <f t="shared" ca="1" si="37"/>
        <v>#NAME?</v>
      </c>
      <c r="Y31" s="51" t="e">
        <f t="shared" ca="1" si="27"/>
        <v>#NAME?</v>
      </c>
      <c r="Z31" s="62" t="e">
        <f t="shared" ref="Z31:AF31" ca="1" si="38">Z30+7</f>
        <v>#NAME?</v>
      </c>
      <c r="AA31" s="63" t="e">
        <f t="shared" ca="1" si="38"/>
        <v>#NAME?</v>
      </c>
      <c r="AB31" s="63" t="e">
        <f t="shared" ca="1" si="38"/>
        <v>#NAME?</v>
      </c>
      <c r="AC31" s="63" t="e">
        <f t="shared" ca="1" si="38"/>
        <v>#NAME?</v>
      </c>
      <c r="AD31" s="63" t="e">
        <f t="shared" ca="1" si="38"/>
        <v>#NAME?</v>
      </c>
      <c r="AE31" s="66" t="e">
        <f t="shared" ca="1" si="38"/>
        <v>#NAME?</v>
      </c>
      <c r="AF31" s="67" t="e">
        <f t="shared" ca="1" si="38"/>
        <v>#NAME?</v>
      </c>
      <c r="AG31" s="51" t="e">
        <f t="shared" ca="1" si="29"/>
        <v>#NAME?</v>
      </c>
      <c r="AH31" s="62" t="e">
        <f t="shared" ref="AH31:AN31" ca="1" si="39">AH30+7</f>
        <v>#NAME?</v>
      </c>
      <c r="AI31" s="63" t="e">
        <f t="shared" ca="1" si="39"/>
        <v>#NAME?</v>
      </c>
      <c r="AJ31" s="63" t="e">
        <f t="shared" ca="1" si="39"/>
        <v>#NAME?</v>
      </c>
      <c r="AK31" s="63" t="e">
        <f t="shared" ca="1" si="39"/>
        <v>#NAME?</v>
      </c>
      <c r="AL31" s="63" t="e">
        <f t="shared" ca="1" si="39"/>
        <v>#NAME?</v>
      </c>
      <c r="AM31" s="68" t="e">
        <f t="shared" ca="1" si="39"/>
        <v>#NAME?</v>
      </c>
      <c r="AN31" s="69" t="e">
        <f t="shared" ca="1" si="39"/>
        <v>#NAME?</v>
      </c>
      <c r="AO31" s="51" t="e">
        <f t="shared" ca="1" si="31"/>
        <v>#NAME?</v>
      </c>
      <c r="AP31" s="62" t="e">
        <f t="shared" ref="AP31:AV31" ca="1" si="40">AP30+7</f>
        <v>#NAME?</v>
      </c>
      <c r="AQ31" s="63" t="e">
        <f t="shared" ca="1" si="40"/>
        <v>#NAME?</v>
      </c>
      <c r="AR31" s="63" t="e">
        <f t="shared" ca="1" si="40"/>
        <v>#NAME?</v>
      </c>
      <c r="AS31" s="63" t="e">
        <f t="shared" ca="1" si="40"/>
        <v>#NAME?</v>
      </c>
      <c r="AT31" s="63" t="e">
        <f t="shared" ca="1" si="40"/>
        <v>#NAME?</v>
      </c>
      <c r="AU31" s="70" t="e">
        <f t="shared" ca="1" si="40"/>
        <v>#NAME?</v>
      </c>
      <c r="AV31" s="71" t="e">
        <f t="shared" ca="1" si="40"/>
        <v>#NAME?</v>
      </c>
      <c r="AW31" s="3"/>
      <c r="AX31" s="3"/>
    </row>
    <row r="32" spans="1:50" ht="18.75" customHeight="1">
      <c r="A32" s="3">
        <f t="shared" si="8"/>
        <v>0</v>
      </c>
      <c r="B32" s="23" t="s">
        <v>21</v>
      </c>
      <c r="C32" s="24" t="e">
        <f t="shared" ca="1" si="15"/>
        <v>#NAME?</v>
      </c>
      <c r="D32" s="25"/>
      <c r="E32" s="26"/>
      <c r="F32" s="27"/>
      <c r="G32" s="28"/>
      <c r="H32" s="34"/>
      <c r="I32" s="2"/>
      <c r="J32" s="2"/>
      <c r="K32" s="29">
        <f t="shared" si="9"/>
        <v>1.5</v>
      </c>
      <c r="L32" s="29">
        <f t="shared" si="10"/>
        <v>1.875</v>
      </c>
      <c r="M32" s="29">
        <f t="shared" si="11"/>
        <v>1.5</v>
      </c>
      <c r="N32" s="30">
        <f t="shared" si="12"/>
        <v>5</v>
      </c>
      <c r="O32" s="31">
        <f t="shared" si="16"/>
        <v>15</v>
      </c>
      <c r="P32" s="82">
        <f t="shared" si="14"/>
        <v>12</v>
      </c>
      <c r="Q32" s="51" t="e">
        <f ca="1">IF(Q31=52,1,Q31+1)</f>
        <v>#NAME?</v>
      </c>
      <c r="R32" s="72" t="e">
        <f t="shared" ref="R32:X32" ca="1" si="41">R31+7</f>
        <v>#NAME?</v>
      </c>
      <c r="S32" s="73" t="e">
        <f t="shared" ca="1" si="41"/>
        <v>#NAME?</v>
      </c>
      <c r="T32" s="73" t="e">
        <f t="shared" ca="1" si="41"/>
        <v>#NAME?</v>
      </c>
      <c r="U32" s="73" t="e">
        <f t="shared" ca="1" si="41"/>
        <v>#NAME?</v>
      </c>
      <c r="V32" s="73" t="e">
        <f t="shared" ca="1" si="41"/>
        <v>#NAME?</v>
      </c>
      <c r="W32" s="74" t="e">
        <f t="shared" ca="1" si="41"/>
        <v>#NAME?</v>
      </c>
      <c r="X32" s="75" t="e">
        <f t="shared" ca="1" si="41"/>
        <v>#NAME?</v>
      </c>
      <c r="Y32" s="51" t="e">
        <f ca="1">IF(Y31=52,1,Y31+1)</f>
        <v>#NAME?</v>
      </c>
      <c r="Z32" s="72" t="e">
        <f t="shared" ref="Z32:AF32" ca="1" si="42">Z31+7</f>
        <v>#NAME?</v>
      </c>
      <c r="AA32" s="73" t="e">
        <f t="shared" ca="1" si="42"/>
        <v>#NAME?</v>
      </c>
      <c r="AB32" s="73" t="e">
        <f t="shared" ca="1" si="42"/>
        <v>#NAME?</v>
      </c>
      <c r="AC32" s="73" t="e">
        <f t="shared" ca="1" si="42"/>
        <v>#NAME?</v>
      </c>
      <c r="AD32" s="73" t="e">
        <f t="shared" ca="1" si="42"/>
        <v>#NAME?</v>
      </c>
      <c r="AE32" s="76" t="e">
        <f t="shared" ca="1" si="42"/>
        <v>#NAME?</v>
      </c>
      <c r="AF32" s="77" t="e">
        <f t="shared" ca="1" si="42"/>
        <v>#NAME?</v>
      </c>
      <c r="AG32" s="51" t="e">
        <f ca="1">IF(AG31=52,1,AG31+1)</f>
        <v>#NAME?</v>
      </c>
      <c r="AH32" s="72" t="e">
        <f t="shared" ref="AH32:AN32" ca="1" si="43">AH31+7</f>
        <v>#NAME?</v>
      </c>
      <c r="AI32" s="73" t="e">
        <f t="shared" ca="1" si="43"/>
        <v>#NAME?</v>
      </c>
      <c r="AJ32" s="73" t="e">
        <f t="shared" ca="1" si="43"/>
        <v>#NAME?</v>
      </c>
      <c r="AK32" s="73" t="e">
        <f t="shared" ca="1" si="43"/>
        <v>#NAME?</v>
      </c>
      <c r="AL32" s="73" t="e">
        <f t="shared" ca="1" si="43"/>
        <v>#NAME?</v>
      </c>
      <c r="AM32" s="78" t="e">
        <f t="shared" ca="1" si="43"/>
        <v>#NAME?</v>
      </c>
      <c r="AN32" s="79" t="e">
        <f t="shared" ca="1" si="43"/>
        <v>#NAME?</v>
      </c>
      <c r="AO32" s="51" t="e">
        <f ca="1">IF(AO31=52,1,AO31+1)</f>
        <v>#NAME?</v>
      </c>
      <c r="AP32" s="72" t="e">
        <f t="shared" ref="AP32:AV32" ca="1" si="44">AP31+7</f>
        <v>#NAME?</v>
      </c>
      <c r="AQ32" s="73" t="e">
        <f t="shared" ca="1" si="44"/>
        <v>#NAME?</v>
      </c>
      <c r="AR32" s="73" t="e">
        <f t="shared" ca="1" si="44"/>
        <v>#NAME?</v>
      </c>
      <c r="AS32" s="73" t="e">
        <f t="shared" ca="1" si="44"/>
        <v>#NAME?</v>
      </c>
      <c r="AT32" s="73" t="e">
        <f t="shared" ca="1" si="44"/>
        <v>#NAME?</v>
      </c>
      <c r="AU32" s="80" t="e">
        <f t="shared" ca="1" si="44"/>
        <v>#NAME?</v>
      </c>
      <c r="AV32" s="81" t="e">
        <f t="shared" ca="1" si="44"/>
        <v>#NAME?</v>
      </c>
      <c r="AW32" s="3"/>
      <c r="AX32" s="3"/>
    </row>
    <row r="33" spans="1:50" ht="18.75" customHeight="1">
      <c r="A33" s="3">
        <f t="shared" si="8"/>
        <v>0</v>
      </c>
      <c r="B33" s="23" t="s">
        <v>21</v>
      </c>
      <c r="C33" s="24" t="e">
        <f t="shared" ca="1" si="15"/>
        <v>#NAME?</v>
      </c>
      <c r="D33" s="25"/>
      <c r="E33" s="26"/>
      <c r="F33" s="27"/>
      <c r="G33" s="28"/>
      <c r="H33" s="34"/>
      <c r="I33" s="2"/>
      <c r="J33" s="2"/>
      <c r="K33" s="29">
        <f t="shared" si="9"/>
        <v>1.2</v>
      </c>
      <c r="L33" s="29">
        <f t="shared" si="10"/>
        <v>1.5</v>
      </c>
      <c r="M33" s="29">
        <f t="shared" si="11"/>
        <v>1.25</v>
      </c>
      <c r="N33" s="30">
        <f t="shared" si="12"/>
        <v>5</v>
      </c>
      <c r="O33" s="31">
        <f t="shared" si="16"/>
        <v>18</v>
      </c>
      <c r="P33" s="82">
        <f t="shared" si="14"/>
        <v>14</v>
      </c>
      <c r="Q33" s="82"/>
      <c r="R33" s="83" t="e">
        <f ca="1">IF(R22+4&gt;12,R22+4-12,R22+4)</f>
        <v>#NAME?</v>
      </c>
      <c r="S33" s="15"/>
      <c r="T33" s="15"/>
      <c r="U33" s="15"/>
      <c r="V33" s="15"/>
      <c r="W33" s="15"/>
      <c r="X33" s="15"/>
      <c r="Y33" s="13"/>
      <c r="Z33" s="83" t="e">
        <f ca="1">IF(Z22+4&gt;12,Z22+4-12,Z22+4)</f>
        <v>#NAME?</v>
      </c>
      <c r="AA33" s="15"/>
      <c r="AB33" s="15"/>
      <c r="AC33" s="15"/>
      <c r="AD33" s="15"/>
      <c r="AE33" s="15"/>
      <c r="AF33" s="15"/>
      <c r="AG33" s="15"/>
      <c r="AH33" s="83" t="e">
        <f ca="1">IF(AH22+4&gt;12,AH22+4-12,AH22+4)</f>
        <v>#NAME?</v>
      </c>
      <c r="AI33" s="15"/>
      <c r="AJ33" s="15"/>
      <c r="AK33" s="15"/>
      <c r="AL33" s="15"/>
      <c r="AM33" s="15"/>
      <c r="AN33" s="15"/>
      <c r="AO33" s="13"/>
      <c r="AP33" s="83" t="e">
        <f ca="1">IF(AP22+4&gt;12,AP22+4-12,AP22+4)</f>
        <v>#NAME?</v>
      </c>
      <c r="AQ33" s="15"/>
      <c r="AR33" s="15"/>
      <c r="AS33" s="15"/>
      <c r="AT33" s="15"/>
      <c r="AU33" s="15"/>
      <c r="AV33" s="15"/>
      <c r="AW33" s="3"/>
      <c r="AX33" s="3"/>
    </row>
    <row r="34" spans="1:50" ht="18.75" customHeight="1">
      <c r="A34" s="3">
        <f t="shared" si="8"/>
        <v>0</v>
      </c>
      <c r="B34" s="23" t="s">
        <v>21</v>
      </c>
      <c r="C34" s="24" t="e">
        <f t="shared" ca="1" si="15"/>
        <v>#NAME?</v>
      </c>
      <c r="D34" s="25"/>
      <c r="E34" s="26"/>
      <c r="F34" s="27"/>
      <c r="G34" s="28"/>
      <c r="H34" s="34"/>
      <c r="I34" s="2"/>
      <c r="J34" s="2"/>
      <c r="K34" s="29">
        <f t="shared" si="9"/>
        <v>1.2</v>
      </c>
      <c r="L34" s="29">
        <f t="shared" si="10"/>
        <v>1.5</v>
      </c>
      <c r="M34" s="29">
        <f t="shared" si="11"/>
        <v>1</v>
      </c>
      <c r="N34" s="30">
        <f t="shared" si="12"/>
        <v>5</v>
      </c>
      <c r="O34" s="31">
        <f t="shared" si="16"/>
        <v>18</v>
      </c>
      <c r="P34" s="82">
        <f t="shared" si="14"/>
        <v>16</v>
      </c>
      <c r="Q34" s="8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3"/>
      <c r="AX34" s="3"/>
    </row>
    <row r="35" spans="1:50" ht="18.75" customHeight="1">
      <c r="A35" s="3">
        <f t="shared" si="8"/>
        <v>1</v>
      </c>
      <c r="B35" s="23" t="s">
        <v>21</v>
      </c>
      <c r="C35" s="24" t="e">
        <f t="shared" ca="1" si="15"/>
        <v>#NAME?</v>
      </c>
      <c r="D35" s="25"/>
      <c r="E35" s="26"/>
      <c r="F35" s="27"/>
      <c r="G35" s="28">
        <v>1</v>
      </c>
      <c r="H35" s="34"/>
      <c r="I35" s="2"/>
      <c r="J35" s="2"/>
      <c r="K35" s="29">
        <f t="shared" si="9"/>
        <v>1.1000000000000001</v>
      </c>
      <c r="L35" s="29">
        <f t="shared" si="10"/>
        <v>1.375</v>
      </c>
      <c r="M35" s="29">
        <f t="shared" si="11"/>
        <v>1.125</v>
      </c>
      <c r="N35" s="30">
        <f t="shared" si="12"/>
        <v>5</v>
      </c>
      <c r="O35" s="31">
        <f t="shared" si="16"/>
        <v>19</v>
      </c>
      <c r="P35" s="82">
        <f t="shared" si="14"/>
        <v>15</v>
      </c>
      <c r="Q35" s="3"/>
      <c r="R35" s="114" t="e">
        <f ca="1">_xludf.IFS(R33=1,"J A N U A R Y",R33=2,"F E B R U A R Y",R33=3,"M A R C H",R33=4,"A P R I L",R33=5, "M A Y",R33=6, "J U N E",R33=7, "J U L Y",R33=8,"A U G U S T ",R33=9,"S E P T E M B E R ",R33=10,"O C T O B E R",R33=11,"N O V E M B E R",R33=12,"D E C E M B E R")</f>
        <v>#NAME?</v>
      </c>
      <c r="S35" s="108"/>
      <c r="T35" s="108"/>
      <c r="U35" s="108"/>
      <c r="V35" s="108"/>
      <c r="W35" s="108"/>
      <c r="X35" s="109"/>
      <c r="Y35" s="4"/>
      <c r="Z35" s="107" t="e">
        <f ca="1">_xludf.IFS(Z33=1,"J A N U A R Y",Z33=2,"F E B R U A R Y",Z33=3,"M A R C H",Z33=4,"A P R I L",Z33=5, "M A Y",Z33=6, "J U N E",Z33=7, "J U L Y",Z33=8,"A U G U S T ",Z33=9,"S E P T E M B E R ",Z33=10,"O C T O B E R",Z33=11,"N O V E M B E R",Z33=12,"D E C E M B E R")</f>
        <v>#NAME?</v>
      </c>
      <c r="AA35" s="108"/>
      <c r="AB35" s="108"/>
      <c r="AC35" s="108"/>
      <c r="AD35" s="108"/>
      <c r="AE35" s="108"/>
      <c r="AF35" s="109"/>
      <c r="AG35" s="4"/>
      <c r="AH35" s="113" t="e">
        <f ca="1">_xludf.IFS(AH33=1,"J A N U A R Y",AH33=2,"F E B R U A R Y",AH33=3,"M A R C H",AH33=4,"A P R I L",AH33=5, "M A Y",AH33=6, "J U N E",AH33=7, "J U L Y",AH33=8,"A U G U S T ",AH33=9,"S E P T E M B E R ",AH33=10,"O C T O B E R",AH33=11,"N O V E M B E R",AH33=12,"D E C E M B E R")</f>
        <v>#NAME?</v>
      </c>
      <c r="AI35" s="108"/>
      <c r="AJ35" s="108"/>
      <c r="AK35" s="108"/>
      <c r="AL35" s="108"/>
      <c r="AM35" s="108"/>
      <c r="AN35" s="109"/>
      <c r="AO35" s="4"/>
      <c r="AP35" s="115" t="e">
        <f ca="1">_xludf.IFS(AP33=1,"J A N U A R Y",AP33=2,"F E B R U A R Y",AP33=3,"M A R C H",AP33=4,"A P R I L",AP33=5, "M A Y",AP33=6, "J U N E",AP33=7, "J U L Y",AP33=8,"A U G U S T ",AP33=9,"S E P T E M B E R ",AP33=10,"O C T O B E R",AP33=11,"N O V E M B E R",AP33=12,"D E C E M B E R")</f>
        <v>#NAME?</v>
      </c>
      <c r="AQ35" s="108"/>
      <c r="AR35" s="108"/>
      <c r="AS35" s="108"/>
      <c r="AT35" s="108"/>
      <c r="AU35" s="108"/>
      <c r="AV35" s="109"/>
      <c r="AW35" s="3"/>
      <c r="AX35" s="3"/>
    </row>
    <row r="36" spans="1:50" ht="18.75" customHeight="1" thickBot="1">
      <c r="A36" s="3">
        <f t="shared" si="8"/>
        <v>0</v>
      </c>
      <c r="B36" s="38" t="s">
        <v>21</v>
      </c>
      <c r="C36" s="39" t="e">
        <f t="shared" ca="1" si="15"/>
        <v>#NAME?</v>
      </c>
      <c r="D36" s="25"/>
      <c r="E36" s="26"/>
      <c r="F36" s="27"/>
      <c r="G36" s="28"/>
      <c r="H36" s="34"/>
      <c r="I36" s="2"/>
      <c r="J36" s="2"/>
      <c r="K36" s="29">
        <f t="shared" si="9"/>
        <v>0.9</v>
      </c>
      <c r="L36" s="29">
        <f t="shared" si="10"/>
        <v>1.125</v>
      </c>
      <c r="M36" s="29">
        <f t="shared" si="11"/>
        <v>0.625</v>
      </c>
      <c r="N36" s="30">
        <f t="shared" si="12"/>
        <v>5</v>
      </c>
      <c r="O36" s="31">
        <f t="shared" si="16"/>
        <v>21</v>
      </c>
      <c r="P36" s="82">
        <f t="shared" si="14"/>
        <v>19</v>
      </c>
      <c r="Q36" s="3"/>
      <c r="R36" s="110"/>
      <c r="S36" s="111"/>
      <c r="T36" s="111"/>
      <c r="U36" s="111"/>
      <c r="V36" s="111"/>
      <c r="W36" s="111"/>
      <c r="X36" s="112"/>
      <c r="Y36" s="4"/>
      <c r="Z36" s="110"/>
      <c r="AA36" s="111"/>
      <c r="AB36" s="111"/>
      <c r="AC36" s="111"/>
      <c r="AD36" s="111"/>
      <c r="AE36" s="111"/>
      <c r="AF36" s="112"/>
      <c r="AG36" s="4"/>
      <c r="AH36" s="110"/>
      <c r="AI36" s="111"/>
      <c r="AJ36" s="111"/>
      <c r="AK36" s="111"/>
      <c r="AL36" s="111"/>
      <c r="AM36" s="111"/>
      <c r="AN36" s="112"/>
      <c r="AO36" s="4"/>
      <c r="AP36" s="110"/>
      <c r="AQ36" s="111"/>
      <c r="AR36" s="111"/>
      <c r="AS36" s="111"/>
      <c r="AT36" s="111"/>
      <c r="AU36" s="111"/>
      <c r="AV36" s="112"/>
      <c r="AW36" s="3"/>
      <c r="AX36" s="3"/>
    </row>
    <row r="37" spans="1:50" ht="18.75" customHeight="1" thickBot="1">
      <c r="A37" s="3">
        <f t="shared" si="8"/>
        <v>3</v>
      </c>
      <c r="B37" s="23" t="s">
        <v>21</v>
      </c>
      <c r="C37" s="24" t="e">
        <f t="shared" ca="1" si="15"/>
        <v>#NAME?</v>
      </c>
      <c r="D37" s="25">
        <v>1</v>
      </c>
      <c r="E37" s="26">
        <v>1</v>
      </c>
      <c r="F37" s="27">
        <v>1</v>
      </c>
      <c r="G37" s="28"/>
      <c r="H37" s="34"/>
      <c r="I37" s="2"/>
      <c r="J37" s="2"/>
      <c r="K37" s="29">
        <f t="shared" si="9"/>
        <v>1.2</v>
      </c>
      <c r="L37" s="29">
        <f t="shared" si="10"/>
        <v>1.5</v>
      </c>
      <c r="M37" s="29">
        <f t="shared" si="11"/>
        <v>0.875</v>
      </c>
      <c r="N37" s="30">
        <f t="shared" si="12"/>
        <v>5</v>
      </c>
      <c r="O37" s="31">
        <f t="shared" si="16"/>
        <v>18</v>
      </c>
      <c r="P37" s="82">
        <f t="shared" si="14"/>
        <v>17</v>
      </c>
      <c r="Q37" s="3"/>
      <c r="R37" s="84" t="s">
        <v>16</v>
      </c>
      <c r="S37" s="85" t="s">
        <v>17</v>
      </c>
      <c r="T37" s="85" t="s">
        <v>6</v>
      </c>
      <c r="U37" s="85" t="s">
        <v>18</v>
      </c>
      <c r="V37" s="85" t="s">
        <v>19</v>
      </c>
      <c r="W37" s="85" t="s">
        <v>22</v>
      </c>
      <c r="X37" s="86" t="s">
        <v>23</v>
      </c>
      <c r="Y37" s="43"/>
      <c r="Z37" s="40" t="s">
        <v>16</v>
      </c>
      <c r="AA37" s="41" t="s">
        <v>17</v>
      </c>
      <c r="AB37" s="41" t="s">
        <v>6</v>
      </c>
      <c r="AC37" s="41" t="s">
        <v>18</v>
      </c>
      <c r="AD37" s="41" t="s">
        <v>19</v>
      </c>
      <c r="AE37" s="41" t="s">
        <v>22</v>
      </c>
      <c r="AF37" s="42" t="s">
        <v>23</v>
      </c>
      <c r="AG37" s="87"/>
      <c r="AH37" s="38" t="s">
        <v>16</v>
      </c>
      <c r="AI37" s="39" t="s">
        <v>17</v>
      </c>
      <c r="AJ37" s="39" t="s">
        <v>6</v>
      </c>
      <c r="AK37" s="39" t="s">
        <v>18</v>
      </c>
      <c r="AL37" s="39" t="s">
        <v>19</v>
      </c>
      <c r="AM37" s="39" t="s">
        <v>22</v>
      </c>
      <c r="AN37" s="44" t="s">
        <v>23</v>
      </c>
      <c r="AO37" s="43"/>
      <c r="AP37" s="45" t="s">
        <v>16</v>
      </c>
      <c r="AQ37" s="46" t="s">
        <v>17</v>
      </c>
      <c r="AR37" s="46" t="s">
        <v>6</v>
      </c>
      <c r="AS37" s="46" t="s">
        <v>18</v>
      </c>
      <c r="AT37" s="46" t="s">
        <v>19</v>
      </c>
      <c r="AU37" s="46" t="s">
        <v>22</v>
      </c>
      <c r="AV37" s="47" t="s">
        <v>23</v>
      </c>
      <c r="AW37" s="3"/>
      <c r="AX37" s="3"/>
    </row>
    <row r="38" spans="1:50" ht="18.75" customHeight="1" thickBot="1">
      <c r="A38" s="3">
        <f t="shared" si="8"/>
        <v>0</v>
      </c>
      <c r="B38" s="23" t="s">
        <v>21</v>
      </c>
      <c r="C38" s="24" t="e">
        <f t="shared" ca="1" si="15"/>
        <v>#NAME?</v>
      </c>
      <c r="D38" s="25" t="s">
        <v>14</v>
      </c>
      <c r="E38" s="26" t="s">
        <v>6</v>
      </c>
      <c r="F38" s="27" t="s">
        <v>6</v>
      </c>
      <c r="G38" s="28" t="s">
        <v>6</v>
      </c>
      <c r="H38" s="34" t="s">
        <v>6</v>
      </c>
      <c r="I38" s="2"/>
      <c r="J38" s="2"/>
      <c r="K38" s="29">
        <f t="shared" si="9"/>
        <v>0.8</v>
      </c>
      <c r="L38" s="29">
        <f t="shared" si="10"/>
        <v>1</v>
      </c>
      <c r="M38" s="29">
        <f t="shared" si="11"/>
        <v>0.75</v>
      </c>
      <c r="N38" s="30">
        <f t="shared" si="12"/>
        <v>5</v>
      </c>
      <c r="O38" s="31">
        <f t="shared" si="16"/>
        <v>22</v>
      </c>
      <c r="P38" s="82">
        <f t="shared" si="14"/>
        <v>18</v>
      </c>
      <c r="Q38" s="51" t="e">
        <f ca="1">Q39-1</f>
        <v>#NAME?</v>
      </c>
      <c r="R38" s="52" t="e">
        <f ca="1">R39-7</f>
        <v>#NAME?</v>
      </c>
      <c r="S38" s="53" t="e">
        <f t="shared" ref="S38:X38" ca="1" si="45">R38+1</f>
        <v>#NAME?</v>
      </c>
      <c r="T38" s="53" t="e">
        <f t="shared" ca="1" si="45"/>
        <v>#NAME?</v>
      </c>
      <c r="U38" s="53" t="e">
        <f t="shared" ca="1" si="45"/>
        <v>#NAME?</v>
      </c>
      <c r="V38" s="53" t="e">
        <f t="shared" ca="1" si="45"/>
        <v>#NAME?</v>
      </c>
      <c r="W38" s="88" t="e">
        <f t="shared" ca="1" si="45"/>
        <v>#NAME?</v>
      </c>
      <c r="X38" s="89" t="e">
        <f t="shared" ca="1" si="45"/>
        <v>#NAME?</v>
      </c>
      <c r="Y38" s="51" t="e">
        <f ca="1">Y39-1</f>
        <v>#NAME?</v>
      </c>
      <c r="Z38" s="52" t="e">
        <f ca="1">Z39-7</f>
        <v>#NAME?</v>
      </c>
      <c r="AA38" s="53" t="e">
        <f t="shared" ref="AA38:AF38" ca="1" si="46">Z38+1</f>
        <v>#NAME?</v>
      </c>
      <c r="AB38" s="53" t="e">
        <f t="shared" ca="1" si="46"/>
        <v>#NAME?</v>
      </c>
      <c r="AC38" s="53" t="e">
        <f t="shared" ca="1" si="46"/>
        <v>#NAME?</v>
      </c>
      <c r="AD38" s="53" t="e">
        <f t="shared" ca="1" si="46"/>
        <v>#NAME?</v>
      </c>
      <c r="AE38" s="54" t="e">
        <f t="shared" ca="1" si="46"/>
        <v>#NAME?</v>
      </c>
      <c r="AF38" s="55" t="e">
        <f t="shared" ca="1" si="46"/>
        <v>#NAME?</v>
      </c>
      <c r="AG38" s="51" t="e">
        <f ca="1">AG39-1</f>
        <v>#NAME?</v>
      </c>
      <c r="AH38" s="52" t="e">
        <f ca="1">AH39-7</f>
        <v>#NAME?</v>
      </c>
      <c r="AI38" s="53" t="e">
        <f t="shared" ref="AI38:AN38" ca="1" si="47">AH38+1</f>
        <v>#NAME?</v>
      </c>
      <c r="AJ38" s="53" t="e">
        <f t="shared" ca="1" si="47"/>
        <v>#NAME?</v>
      </c>
      <c r="AK38" s="53" t="e">
        <f t="shared" ca="1" si="47"/>
        <v>#NAME?</v>
      </c>
      <c r="AL38" s="53" t="e">
        <f t="shared" ca="1" si="47"/>
        <v>#NAME?</v>
      </c>
      <c r="AM38" s="56" t="e">
        <f t="shared" ca="1" si="47"/>
        <v>#NAME?</v>
      </c>
      <c r="AN38" s="57" t="e">
        <f t="shared" ca="1" si="47"/>
        <v>#NAME?</v>
      </c>
      <c r="AO38" s="51" t="e">
        <f ca="1">AO39-1</f>
        <v>#NAME?</v>
      </c>
      <c r="AP38" s="52" t="e">
        <f ca="1">AP39-7</f>
        <v>#NAME?</v>
      </c>
      <c r="AQ38" s="53" t="e">
        <f t="shared" ref="AQ38:AV38" ca="1" si="48">AP38+1</f>
        <v>#NAME?</v>
      </c>
      <c r="AR38" s="53" t="e">
        <f t="shared" ca="1" si="48"/>
        <v>#NAME?</v>
      </c>
      <c r="AS38" s="53" t="e">
        <f t="shared" ca="1" si="48"/>
        <v>#NAME?</v>
      </c>
      <c r="AT38" s="53" t="e">
        <f t="shared" ca="1" si="48"/>
        <v>#NAME?</v>
      </c>
      <c r="AU38" s="58" t="e">
        <f t="shared" ca="1" si="48"/>
        <v>#NAME?</v>
      </c>
      <c r="AV38" s="59" t="e">
        <f t="shared" ca="1" si="48"/>
        <v>#NAME?</v>
      </c>
      <c r="AW38" s="3"/>
      <c r="AX38" s="3"/>
    </row>
    <row r="39" spans="1:50" ht="18.75" customHeight="1" thickBot="1">
      <c r="A39" s="3">
        <f t="shared" si="8"/>
        <v>5</v>
      </c>
      <c r="B39" s="23" t="s">
        <v>21</v>
      </c>
      <c r="C39" s="24" t="e">
        <f t="shared" ca="1" si="15"/>
        <v>#NAME?</v>
      </c>
      <c r="D39" s="25">
        <v>1</v>
      </c>
      <c r="E39" s="32">
        <v>1</v>
      </c>
      <c r="F39" s="33">
        <v>1</v>
      </c>
      <c r="G39" s="28">
        <v>1</v>
      </c>
      <c r="H39" s="34">
        <v>1</v>
      </c>
      <c r="I39" s="2"/>
      <c r="J39" s="2"/>
      <c r="K39" s="29">
        <f t="shared" si="9"/>
        <v>1.2</v>
      </c>
      <c r="L39" s="29">
        <f t="shared" si="10"/>
        <v>1.5</v>
      </c>
      <c r="M39" s="29">
        <f t="shared" si="11"/>
        <v>1.375</v>
      </c>
      <c r="N39" s="30">
        <f t="shared" si="12"/>
        <v>5</v>
      </c>
      <c r="O39" s="31">
        <f t="shared" si="16"/>
        <v>18</v>
      </c>
      <c r="P39" s="82">
        <f t="shared" si="14"/>
        <v>13</v>
      </c>
      <c r="Q39" s="51" t="e">
        <f ca="1">WEEKNUM(DATE(YEAR(A1),MONTH(A1)+4,1+1*7)-WEEKDAY(DATE(YEAR(A1),MONTH(A1)+4,8-2)))</f>
        <v>#NAME?</v>
      </c>
      <c r="R39" s="62" t="e">
        <f ca="1">DATE(YEAR(A1),MONTH(A1)+4,1+1*7)-WEEKDAY(DATE(YEAR(A1),MONTH(A1)+4,8-2))</f>
        <v>#NAME?</v>
      </c>
      <c r="S39" s="63" t="e">
        <f t="shared" ref="S39:X39" ca="1" si="49">S38+7</f>
        <v>#NAME?</v>
      </c>
      <c r="T39" s="63" t="e">
        <f t="shared" ca="1" si="49"/>
        <v>#NAME?</v>
      </c>
      <c r="U39" s="63" t="e">
        <f t="shared" ca="1" si="49"/>
        <v>#NAME?</v>
      </c>
      <c r="V39" s="63" t="e">
        <f t="shared" ca="1" si="49"/>
        <v>#NAME?</v>
      </c>
      <c r="W39" s="90" t="e">
        <f t="shared" ca="1" si="49"/>
        <v>#NAME?</v>
      </c>
      <c r="X39" s="91" t="e">
        <f t="shared" ca="1" si="49"/>
        <v>#NAME?</v>
      </c>
      <c r="Y39" s="51" t="e">
        <f ca="1">WEEKNUM(DATE(YEAR(A1),MONTH(A1)+5,1+1*7)-WEEKDAY(DATE(YEAR(A1),MONTH(A1)+5,8-2)))</f>
        <v>#NAME?</v>
      </c>
      <c r="Z39" s="62" t="e">
        <f ca="1">DATE(YEAR(A1),MONTH(A1)+5,1+1*7)-WEEKDAY(DATE(YEAR(A1),MONTH(A1)+5,8-2))</f>
        <v>#NAME?</v>
      </c>
      <c r="AA39" s="63" t="e">
        <f t="shared" ref="AA39:AF39" ca="1" si="50">AA38+7</f>
        <v>#NAME?</v>
      </c>
      <c r="AB39" s="63" t="e">
        <f t="shared" ca="1" si="50"/>
        <v>#NAME?</v>
      </c>
      <c r="AC39" s="63" t="e">
        <f t="shared" ca="1" si="50"/>
        <v>#NAME?</v>
      </c>
      <c r="AD39" s="63" t="e">
        <f t="shared" ca="1" si="50"/>
        <v>#NAME?</v>
      </c>
      <c r="AE39" s="64" t="e">
        <f t="shared" ca="1" si="50"/>
        <v>#NAME?</v>
      </c>
      <c r="AF39" s="65" t="e">
        <f t="shared" ca="1" si="50"/>
        <v>#NAME?</v>
      </c>
      <c r="AG39" s="51" t="e">
        <f ca="1">WEEKNUM(DATE(YEAR(A1),MONTH(A1)+6,1+1*7)-WEEKDAY(DATE(YEAR(A1),MONTH(A1)+6,8-2)))</f>
        <v>#NAME?</v>
      </c>
      <c r="AH39" s="62" t="e">
        <f ca="1">DATE(YEAR(A1),MONTH(A1)+6,1+1*7)-WEEKDAY(DATE(YEAR(A1),MONTH(A1)+6,8-2))</f>
        <v>#NAME?</v>
      </c>
      <c r="AI39" s="63" t="e">
        <f t="shared" ref="AI39:AN39" ca="1" si="51">AI38+7</f>
        <v>#NAME?</v>
      </c>
      <c r="AJ39" s="63" t="e">
        <f t="shared" ca="1" si="51"/>
        <v>#NAME?</v>
      </c>
      <c r="AK39" s="63" t="e">
        <f t="shared" ca="1" si="51"/>
        <v>#NAME?</v>
      </c>
      <c r="AL39" s="63" t="e">
        <f t="shared" ca="1" si="51"/>
        <v>#NAME?</v>
      </c>
      <c r="AM39" s="66" t="e">
        <f t="shared" ca="1" si="51"/>
        <v>#NAME?</v>
      </c>
      <c r="AN39" s="67" t="e">
        <f t="shared" ca="1" si="51"/>
        <v>#NAME?</v>
      </c>
      <c r="AO39" s="51" t="e">
        <f ca="1">WEEKNUM(DATE(YEAR(A1),MONTH(A1)+7,1+1*7)-WEEKDAY(DATE(YEAR(A1),MONTH(A1)+7,8-2)))</f>
        <v>#NAME?</v>
      </c>
      <c r="AP39" s="62" t="e">
        <f ca="1">DATE(YEAR(A1),MONTH(A1)+7,1+1*7)-WEEKDAY(DATE(YEAR(A1),MONTH(A1)+7,8-2))</f>
        <v>#NAME?</v>
      </c>
      <c r="AQ39" s="63" t="e">
        <f t="shared" ref="AQ39:AV39" ca="1" si="52">AQ38+7</f>
        <v>#NAME?</v>
      </c>
      <c r="AR39" s="63" t="e">
        <f t="shared" ca="1" si="52"/>
        <v>#NAME?</v>
      </c>
      <c r="AS39" s="63" t="e">
        <f t="shared" ca="1" si="52"/>
        <v>#NAME?</v>
      </c>
      <c r="AT39" s="63" t="e">
        <f t="shared" ca="1" si="52"/>
        <v>#NAME?</v>
      </c>
      <c r="AU39" s="68" t="e">
        <f t="shared" ca="1" si="52"/>
        <v>#NAME?</v>
      </c>
      <c r="AV39" s="69" t="e">
        <f t="shared" ca="1" si="52"/>
        <v>#NAME?</v>
      </c>
      <c r="AW39" s="3"/>
      <c r="AX39" s="3"/>
    </row>
    <row r="40" spans="1:50" ht="18.75" customHeight="1" thickBot="1">
      <c r="A40" s="3">
        <f t="shared" si="8"/>
        <v>2</v>
      </c>
      <c r="B40" s="23" t="s">
        <v>21</v>
      </c>
      <c r="C40" s="24" t="e">
        <f t="shared" ca="1" si="15"/>
        <v>#NAME?</v>
      </c>
      <c r="D40" s="25"/>
      <c r="E40" s="32">
        <v>1</v>
      </c>
      <c r="F40" s="33"/>
      <c r="G40" s="28">
        <v>1</v>
      </c>
      <c r="H40" s="34"/>
      <c r="I40" s="2"/>
      <c r="J40" s="2"/>
      <c r="K40" s="29">
        <f t="shared" si="9"/>
        <v>1.3</v>
      </c>
      <c r="L40" s="29">
        <f t="shared" si="10"/>
        <v>1.625</v>
      </c>
      <c r="M40" s="29">
        <f t="shared" si="11"/>
        <v>1.5</v>
      </c>
      <c r="N40" s="30">
        <f t="shared" si="12"/>
        <v>5</v>
      </c>
      <c r="O40" s="31">
        <f t="shared" si="16"/>
        <v>17</v>
      </c>
      <c r="P40" s="82">
        <f t="shared" si="14"/>
        <v>12</v>
      </c>
      <c r="Q40" s="51" t="e">
        <f t="shared" ref="Q40:Q42" ca="1" si="53">Q39+1</f>
        <v>#NAME?</v>
      </c>
      <c r="R40" s="62" t="e">
        <f t="shared" ref="R40:X40" ca="1" si="54">R39+7</f>
        <v>#NAME?</v>
      </c>
      <c r="S40" s="63" t="e">
        <f t="shared" ca="1" si="54"/>
        <v>#NAME?</v>
      </c>
      <c r="T40" s="63" t="e">
        <f t="shared" ca="1" si="54"/>
        <v>#NAME?</v>
      </c>
      <c r="U40" s="63" t="e">
        <f t="shared" ca="1" si="54"/>
        <v>#NAME?</v>
      </c>
      <c r="V40" s="63" t="e">
        <f t="shared" ca="1" si="54"/>
        <v>#NAME?</v>
      </c>
      <c r="W40" s="90" t="e">
        <f t="shared" ca="1" si="54"/>
        <v>#NAME?</v>
      </c>
      <c r="X40" s="91" t="e">
        <f t="shared" ca="1" si="54"/>
        <v>#NAME?</v>
      </c>
      <c r="Y40" s="51" t="e">
        <f t="shared" ref="Y40:Y42" ca="1" si="55">Y39+1</f>
        <v>#NAME?</v>
      </c>
      <c r="Z40" s="62" t="e">
        <f t="shared" ref="Z40:AF40" ca="1" si="56">Z39+7</f>
        <v>#NAME?</v>
      </c>
      <c r="AA40" s="63" t="e">
        <f t="shared" ca="1" si="56"/>
        <v>#NAME?</v>
      </c>
      <c r="AB40" s="63" t="e">
        <f t="shared" ca="1" si="56"/>
        <v>#NAME?</v>
      </c>
      <c r="AC40" s="63" t="e">
        <f t="shared" ca="1" si="56"/>
        <v>#NAME?</v>
      </c>
      <c r="AD40" s="63" t="e">
        <f t="shared" ca="1" si="56"/>
        <v>#NAME?</v>
      </c>
      <c r="AE40" s="64" t="e">
        <f t="shared" ca="1" si="56"/>
        <v>#NAME?</v>
      </c>
      <c r="AF40" s="65" t="e">
        <f t="shared" ca="1" si="56"/>
        <v>#NAME?</v>
      </c>
      <c r="AG40" s="51" t="e">
        <f t="shared" ref="AG40:AG42" ca="1" si="57">AG39+1</f>
        <v>#NAME?</v>
      </c>
      <c r="AH40" s="62" t="e">
        <f t="shared" ref="AH40:AN40" ca="1" si="58">AH39+7</f>
        <v>#NAME?</v>
      </c>
      <c r="AI40" s="63" t="e">
        <f t="shared" ca="1" si="58"/>
        <v>#NAME?</v>
      </c>
      <c r="AJ40" s="63" t="e">
        <f t="shared" ca="1" si="58"/>
        <v>#NAME?</v>
      </c>
      <c r="AK40" s="63" t="e">
        <f t="shared" ca="1" si="58"/>
        <v>#NAME?</v>
      </c>
      <c r="AL40" s="63" t="e">
        <f t="shared" ca="1" si="58"/>
        <v>#NAME?</v>
      </c>
      <c r="AM40" s="66" t="e">
        <f t="shared" ca="1" si="58"/>
        <v>#NAME?</v>
      </c>
      <c r="AN40" s="67" t="e">
        <f t="shared" ca="1" si="58"/>
        <v>#NAME?</v>
      </c>
      <c r="AO40" s="51" t="e">
        <f t="shared" ref="AO40:AO42" ca="1" si="59">AO39+1</f>
        <v>#NAME?</v>
      </c>
      <c r="AP40" s="62" t="e">
        <f t="shared" ref="AP40:AV40" ca="1" si="60">AP39+7</f>
        <v>#NAME?</v>
      </c>
      <c r="AQ40" s="63" t="e">
        <f t="shared" ca="1" si="60"/>
        <v>#NAME?</v>
      </c>
      <c r="AR40" s="63" t="e">
        <f t="shared" ca="1" si="60"/>
        <v>#NAME?</v>
      </c>
      <c r="AS40" s="63" t="e">
        <f t="shared" ca="1" si="60"/>
        <v>#NAME?</v>
      </c>
      <c r="AT40" s="63" t="e">
        <f t="shared" ca="1" si="60"/>
        <v>#NAME?</v>
      </c>
      <c r="AU40" s="68" t="e">
        <f t="shared" ca="1" si="60"/>
        <v>#NAME?</v>
      </c>
      <c r="AV40" s="69" t="e">
        <f t="shared" ca="1" si="60"/>
        <v>#NAME?</v>
      </c>
      <c r="AW40" s="3"/>
      <c r="AX40" s="3"/>
    </row>
    <row r="41" spans="1:50" ht="18.75" customHeight="1" thickBot="1">
      <c r="A41" s="3">
        <f t="shared" si="8"/>
        <v>3</v>
      </c>
      <c r="B41" s="23" t="s">
        <v>21</v>
      </c>
      <c r="C41" s="24" t="e">
        <f t="shared" ca="1" si="15"/>
        <v>#NAME?</v>
      </c>
      <c r="D41" s="25"/>
      <c r="E41" s="32">
        <v>1</v>
      </c>
      <c r="F41" s="33"/>
      <c r="G41" s="28">
        <v>1</v>
      </c>
      <c r="H41" s="34">
        <v>1</v>
      </c>
      <c r="I41" s="2"/>
      <c r="J41" s="2"/>
      <c r="K41" s="29">
        <f t="shared" si="9"/>
        <v>1.6</v>
      </c>
      <c r="L41" s="29">
        <f t="shared" si="10"/>
        <v>2</v>
      </c>
      <c r="M41" s="29">
        <f t="shared" si="11"/>
        <v>1.75</v>
      </c>
      <c r="N41" s="30">
        <f t="shared" si="12"/>
        <v>5</v>
      </c>
      <c r="O41" s="31">
        <f t="shared" si="16"/>
        <v>14</v>
      </c>
      <c r="P41" s="82">
        <f t="shared" si="14"/>
        <v>10</v>
      </c>
      <c r="Q41" s="51" t="e">
        <f t="shared" ca="1" si="53"/>
        <v>#NAME?</v>
      </c>
      <c r="R41" s="62" t="e">
        <f t="shared" ref="R41:X41" ca="1" si="61">R40+7</f>
        <v>#NAME?</v>
      </c>
      <c r="S41" s="63" t="e">
        <f t="shared" ca="1" si="61"/>
        <v>#NAME?</v>
      </c>
      <c r="T41" s="63" t="e">
        <f t="shared" ca="1" si="61"/>
        <v>#NAME?</v>
      </c>
      <c r="U41" s="63" t="e">
        <f t="shared" ca="1" si="61"/>
        <v>#NAME?</v>
      </c>
      <c r="V41" s="63" t="e">
        <f t="shared" ca="1" si="61"/>
        <v>#NAME?</v>
      </c>
      <c r="W41" s="90" t="e">
        <f t="shared" ca="1" si="61"/>
        <v>#NAME?</v>
      </c>
      <c r="X41" s="91" t="e">
        <f t="shared" ca="1" si="61"/>
        <v>#NAME?</v>
      </c>
      <c r="Y41" s="51" t="e">
        <f t="shared" ca="1" si="55"/>
        <v>#NAME?</v>
      </c>
      <c r="Z41" s="62" t="e">
        <f t="shared" ref="Z41:AF41" ca="1" si="62">Z40+7</f>
        <v>#NAME?</v>
      </c>
      <c r="AA41" s="63" t="e">
        <f t="shared" ca="1" si="62"/>
        <v>#NAME?</v>
      </c>
      <c r="AB41" s="63" t="e">
        <f t="shared" ca="1" si="62"/>
        <v>#NAME?</v>
      </c>
      <c r="AC41" s="63" t="e">
        <f t="shared" ca="1" si="62"/>
        <v>#NAME?</v>
      </c>
      <c r="AD41" s="63" t="e">
        <f t="shared" ca="1" si="62"/>
        <v>#NAME?</v>
      </c>
      <c r="AE41" s="64" t="e">
        <f t="shared" ca="1" si="62"/>
        <v>#NAME?</v>
      </c>
      <c r="AF41" s="65" t="e">
        <f t="shared" ca="1" si="62"/>
        <v>#NAME?</v>
      </c>
      <c r="AG41" s="51" t="e">
        <f t="shared" ca="1" si="57"/>
        <v>#NAME?</v>
      </c>
      <c r="AH41" s="62" t="e">
        <f t="shared" ref="AH41:AN41" ca="1" si="63">AH40+7</f>
        <v>#NAME?</v>
      </c>
      <c r="AI41" s="63" t="e">
        <f t="shared" ca="1" si="63"/>
        <v>#NAME?</v>
      </c>
      <c r="AJ41" s="63" t="e">
        <f t="shared" ca="1" si="63"/>
        <v>#NAME?</v>
      </c>
      <c r="AK41" s="63" t="e">
        <f t="shared" ca="1" si="63"/>
        <v>#NAME?</v>
      </c>
      <c r="AL41" s="63" t="e">
        <f t="shared" ca="1" si="63"/>
        <v>#NAME?</v>
      </c>
      <c r="AM41" s="66" t="e">
        <f t="shared" ca="1" si="63"/>
        <v>#NAME?</v>
      </c>
      <c r="AN41" s="67" t="e">
        <f t="shared" ca="1" si="63"/>
        <v>#NAME?</v>
      </c>
      <c r="AO41" s="51" t="e">
        <f t="shared" ca="1" si="59"/>
        <v>#NAME?</v>
      </c>
      <c r="AP41" s="62" t="e">
        <f t="shared" ref="AP41:AV41" ca="1" si="64">AP40+7</f>
        <v>#NAME?</v>
      </c>
      <c r="AQ41" s="63" t="e">
        <f t="shared" ca="1" si="64"/>
        <v>#NAME?</v>
      </c>
      <c r="AR41" s="63" t="e">
        <f t="shared" ca="1" si="64"/>
        <v>#NAME?</v>
      </c>
      <c r="AS41" s="63" t="e">
        <f t="shared" ca="1" si="64"/>
        <v>#NAME?</v>
      </c>
      <c r="AT41" s="63" t="e">
        <f t="shared" ca="1" si="64"/>
        <v>#NAME?</v>
      </c>
      <c r="AU41" s="68" t="e">
        <f t="shared" ca="1" si="64"/>
        <v>#NAME?</v>
      </c>
      <c r="AV41" s="69" t="e">
        <f t="shared" ca="1" si="64"/>
        <v>#NAME?</v>
      </c>
      <c r="AW41" s="3"/>
      <c r="AX41" s="3"/>
    </row>
    <row r="42" spans="1:50" ht="18.75" customHeight="1" thickBot="1">
      <c r="A42" s="3">
        <f t="shared" si="8"/>
        <v>2</v>
      </c>
      <c r="B42" s="38" t="s">
        <v>21</v>
      </c>
      <c r="C42" s="39" t="e">
        <f t="shared" ca="1" si="15"/>
        <v>#NAME?</v>
      </c>
      <c r="D42" s="25">
        <v>1</v>
      </c>
      <c r="E42" s="32"/>
      <c r="F42" s="33">
        <v>1</v>
      </c>
      <c r="G42" s="28"/>
      <c r="H42" s="34"/>
      <c r="I42" s="2"/>
      <c r="J42" s="2"/>
      <c r="K42" s="29">
        <f t="shared" si="9"/>
        <v>1.7</v>
      </c>
      <c r="L42" s="29">
        <f t="shared" si="10"/>
        <v>2.125</v>
      </c>
      <c r="M42" s="29">
        <f t="shared" si="11"/>
        <v>2</v>
      </c>
      <c r="N42" s="30">
        <f t="shared" si="12"/>
        <v>5</v>
      </c>
      <c r="O42" s="31">
        <f t="shared" si="16"/>
        <v>13</v>
      </c>
      <c r="P42" s="82">
        <f t="shared" si="14"/>
        <v>8</v>
      </c>
      <c r="Q42" s="51" t="e">
        <f t="shared" ca="1" si="53"/>
        <v>#NAME?</v>
      </c>
      <c r="R42" s="62" t="e">
        <f t="shared" ref="R42:X42" ca="1" si="65">R41+7</f>
        <v>#NAME?</v>
      </c>
      <c r="S42" s="63" t="e">
        <f t="shared" ca="1" si="65"/>
        <v>#NAME?</v>
      </c>
      <c r="T42" s="63" t="e">
        <f t="shared" ca="1" si="65"/>
        <v>#NAME?</v>
      </c>
      <c r="U42" s="63" t="e">
        <f t="shared" ca="1" si="65"/>
        <v>#NAME?</v>
      </c>
      <c r="V42" s="63" t="e">
        <f t="shared" ca="1" si="65"/>
        <v>#NAME?</v>
      </c>
      <c r="W42" s="90" t="e">
        <f t="shared" ca="1" si="65"/>
        <v>#NAME?</v>
      </c>
      <c r="X42" s="91" t="e">
        <f t="shared" ca="1" si="65"/>
        <v>#NAME?</v>
      </c>
      <c r="Y42" s="51" t="e">
        <f t="shared" ca="1" si="55"/>
        <v>#NAME?</v>
      </c>
      <c r="Z42" s="62" t="e">
        <f t="shared" ref="Z42:AF42" ca="1" si="66">Z41+7</f>
        <v>#NAME?</v>
      </c>
      <c r="AA42" s="63" t="e">
        <f t="shared" ca="1" si="66"/>
        <v>#NAME?</v>
      </c>
      <c r="AB42" s="63" t="e">
        <f t="shared" ca="1" si="66"/>
        <v>#NAME?</v>
      </c>
      <c r="AC42" s="63" t="e">
        <f t="shared" ca="1" si="66"/>
        <v>#NAME?</v>
      </c>
      <c r="AD42" s="63" t="e">
        <f t="shared" ca="1" si="66"/>
        <v>#NAME?</v>
      </c>
      <c r="AE42" s="64" t="e">
        <f t="shared" ca="1" si="66"/>
        <v>#NAME?</v>
      </c>
      <c r="AF42" s="65" t="e">
        <f t="shared" ca="1" si="66"/>
        <v>#NAME?</v>
      </c>
      <c r="AG42" s="51" t="e">
        <f t="shared" ca="1" si="57"/>
        <v>#NAME?</v>
      </c>
      <c r="AH42" s="62" t="e">
        <f t="shared" ref="AH42:AN42" ca="1" si="67">AH41+7</f>
        <v>#NAME?</v>
      </c>
      <c r="AI42" s="63" t="e">
        <f t="shared" ca="1" si="67"/>
        <v>#NAME?</v>
      </c>
      <c r="AJ42" s="63" t="e">
        <f t="shared" ca="1" si="67"/>
        <v>#NAME?</v>
      </c>
      <c r="AK42" s="63" t="e">
        <f t="shared" ca="1" si="67"/>
        <v>#NAME?</v>
      </c>
      <c r="AL42" s="63" t="e">
        <f t="shared" ca="1" si="67"/>
        <v>#NAME?</v>
      </c>
      <c r="AM42" s="66" t="e">
        <f t="shared" ca="1" si="67"/>
        <v>#NAME?</v>
      </c>
      <c r="AN42" s="67" t="e">
        <f t="shared" ca="1" si="67"/>
        <v>#NAME?</v>
      </c>
      <c r="AO42" s="51" t="e">
        <f t="shared" ca="1" si="59"/>
        <v>#NAME?</v>
      </c>
      <c r="AP42" s="62" t="e">
        <f t="shared" ref="AP42:AV42" ca="1" si="68">AP41+7</f>
        <v>#NAME?</v>
      </c>
      <c r="AQ42" s="63" t="e">
        <f t="shared" ca="1" si="68"/>
        <v>#NAME?</v>
      </c>
      <c r="AR42" s="63" t="e">
        <f t="shared" ca="1" si="68"/>
        <v>#NAME?</v>
      </c>
      <c r="AS42" s="63" t="e">
        <f t="shared" ca="1" si="68"/>
        <v>#NAME?</v>
      </c>
      <c r="AT42" s="63" t="e">
        <f t="shared" ca="1" si="68"/>
        <v>#NAME?</v>
      </c>
      <c r="AU42" s="68" t="e">
        <f t="shared" ca="1" si="68"/>
        <v>#NAME?</v>
      </c>
      <c r="AV42" s="69" t="e">
        <f t="shared" ca="1" si="68"/>
        <v>#NAME?</v>
      </c>
      <c r="AW42" s="3"/>
      <c r="AX42" s="3"/>
    </row>
    <row r="43" spans="1:50" ht="18.75" customHeight="1" thickBot="1">
      <c r="A43" s="3">
        <f t="shared" si="8"/>
        <v>0</v>
      </c>
      <c r="B43" s="23" t="s">
        <v>21</v>
      </c>
      <c r="C43" s="24" t="e">
        <f t="shared" ca="1" si="15"/>
        <v>#NAME?</v>
      </c>
      <c r="D43" s="25"/>
      <c r="E43" s="32"/>
      <c r="F43" s="33"/>
      <c r="G43" s="28"/>
      <c r="H43" s="34"/>
      <c r="I43" s="2"/>
      <c r="J43" s="2"/>
      <c r="K43" s="29">
        <f t="shared" si="9"/>
        <v>1.6</v>
      </c>
      <c r="L43" s="29">
        <f t="shared" si="10"/>
        <v>2</v>
      </c>
      <c r="M43" s="29">
        <f t="shared" si="11"/>
        <v>2</v>
      </c>
      <c r="N43" s="30">
        <f t="shared" si="12"/>
        <v>5</v>
      </c>
      <c r="O43" s="31">
        <f t="shared" si="16"/>
        <v>14</v>
      </c>
      <c r="P43" s="82">
        <f t="shared" si="14"/>
        <v>8</v>
      </c>
      <c r="Q43" s="51" t="e">
        <f ca="1">IF(Q42=52,1,Q42+1)</f>
        <v>#NAME?</v>
      </c>
      <c r="R43" s="72" t="e">
        <f t="shared" ref="R43:X43" ca="1" si="69">R42+7</f>
        <v>#NAME?</v>
      </c>
      <c r="S43" s="73" t="e">
        <f t="shared" ca="1" si="69"/>
        <v>#NAME?</v>
      </c>
      <c r="T43" s="73" t="e">
        <f t="shared" ca="1" si="69"/>
        <v>#NAME?</v>
      </c>
      <c r="U43" s="73" t="e">
        <f t="shared" ca="1" si="69"/>
        <v>#NAME?</v>
      </c>
      <c r="V43" s="73" t="e">
        <f t="shared" ca="1" si="69"/>
        <v>#NAME?</v>
      </c>
      <c r="W43" s="92" t="e">
        <f t="shared" ca="1" si="69"/>
        <v>#NAME?</v>
      </c>
      <c r="X43" s="93" t="e">
        <f t="shared" ca="1" si="69"/>
        <v>#NAME?</v>
      </c>
      <c r="Y43" s="51" t="e">
        <f ca="1">IF(Y42=52,1,Y42+1)</f>
        <v>#NAME?</v>
      </c>
      <c r="Z43" s="72" t="e">
        <f t="shared" ref="Z43:AF43" ca="1" si="70">Z42+7</f>
        <v>#NAME?</v>
      </c>
      <c r="AA43" s="73" t="e">
        <f t="shared" ca="1" si="70"/>
        <v>#NAME?</v>
      </c>
      <c r="AB43" s="73" t="e">
        <f t="shared" ca="1" si="70"/>
        <v>#NAME?</v>
      </c>
      <c r="AC43" s="73" t="e">
        <f t="shared" ca="1" si="70"/>
        <v>#NAME?</v>
      </c>
      <c r="AD43" s="73" t="e">
        <f t="shared" ca="1" si="70"/>
        <v>#NAME?</v>
      </c>
      <c r="AE43" s="74" t="e">
        <f t="shared" ca="1" si="70"/>
        <v>#NAME?</v>
      </c>
      <c r="AF43" s="75" t="e">
        <f t="shared" ca="1" si="70"/>
        <v>#NAME?</v>
      </c>
      <c r="AG43" s="51" t="e">
        <f ca="1">IF(AG42=52,1,AG42+1)</f>
        <v>#NAME?</v>
      </c>
      <c r="AH43" s="72" t="e">
        <f t="shared" ref="AH43:AN43" ca="1" si="71">AH42+7</f>
        <v>#NAME?</v>
      </c>
      <c r="AI43" s="73" t="e">
        <f t="shared" ca="1" si="71"/>
        <v>#NAME?</v>
      </c>
      <c r="AJ43" s="73" t="e">
        <f t="shared" ca="1" si="71"/>
        <v>#NAME?</v>
      </c>
      <c r="AK43" s="73" t="e">
        <f t="shared" ca="1" si="71"/>
        <v>#NAME?</v>
      </c>
      <c r="AL43" s="73" t="e">
        <f t="shared" ca="1" si="71"/>
        <v>#NAME?</v>
      </c>
      <c r="AM43" s="76" t="e">
        <f t="shared" ca="1" si="71"/>
        <v>#NAME?</v>
      </c>
      <c r="AN43" s="77" t="e">
        <f t="shared" ca="1" si="71"/>
        <v>#NAME?</v>
      </c>
      <c r="AO43" s="51" t="e">
        <f ca="1">IF(AO42=52,1,AO42+1)</f>
        <v>#NAME?</v>
      </c>
      <c r="AP43" s="72" t="e">
        <f t="shared" ref="AP43:AV43" ca="1" si="72">AP42+7</f>
        <v>#NAME?</v>
      </c>
      <c r="AQ43" s="73" t="e">
        <f t="shared" ca="1" si="72"/>
        <v>#NAME?</v>
      </c>
      <c r="AR43" s="73" t="e">
        <f t="shared" ca="1" si="72"/>
        <v>#NAME?</v>
      </c>
      <c r="AS43" s="73" t="e">
        <f t="shared" ca="1" si="72"/>
        <v>#NAME?</v>
      </c>
      <c r="AT43" s="73" t="e">
        <f t="shared" ca="1" si="72"/>
        <v>#NAME?</v>
      </c>
      <c r="AU43" s="78" t="e">
        <f t="shared" ca="1" si="72"/>
        <v>#NAME?</v>
      </c>
      <c r="AV43" s="79" t="e">
        <f t="shared" ca="1" si="72"/>
        <v>#NAME?</v>
      </c>
      <c r="AW43" s="3"/>
      <c r="AX43" s="3"/>
    </row>
    <row r="44" spans="1:50" ht="18.75" customHeight="1" thickBot="1">
      <c r="A44" s="3">
        <f t="shared" si="8"/>
        <v>0</v>
      </c>
      <c r="B44" s="23" t="s">
        <v>21</v>
      </c>
      <c r="C44" s="24" t="e">
        <f t="shared" ca="1" si="15"/>
        <v>#NAME?</v>
      </c>
      <c r="D44" s="25"/>
      <c r="E44" s="32"/>
      <c r="F44" s="33"/>
      <c r="G44" s="28"/>
      <c r="H44" s="34"/>
      <c r="I44" s="2"/>
      <c r="J44" s="2"/>
      <c r="K44" s="29">
        <f t="shared" si="9"/>
        <v>1.6</v>
      </c>
      <c r="L44" s="29">
        <f t="shared" si="10"/>
        <v>2</v>
      </c>
      <c r="M44" s="29">
        <f t="shared" si="11"/>
        <v>2</v>
      </c>
      <c r="N44" s="30">
        <f t="shared" si="12"/>
        <v>5</v>
      </c>
      <c r="O44" s="31">
        <f t="shared" si="16"/>
        <v>14</v>
      </c>
      <c r="P44" s="82">
        <f t="shared" si="14"/>
        <v>8</v>
      </c>
      <c r="Q44" s="3"/>
      <c r="R44" s="83" t="e">
        <f ca="1">IF(R33+4&gt;12,R33+4-12,R33+4)</f>
        <v>#NAME?</v>
      </c>
      <c r="S44" s="15"/>
      <c r="T44" s="15"/>
      <c r="U44" s="15"/>
      <c r="V44" s="15"/>
      <c r="W44" s="15"/>
      <c r="X44" s="15"/>
      <c r="Y44" s="13"/>
      <c r="Z44" s="83" t="e">
        <f ca="1">IF(Z33+4&gt;12,Z33+4-12,Z33+4)</f>
        <v>#NAME?</v>
      </c>
      <c r="AA44" s="15"/>
      <c r="AB44" s="15"/>
      <c r="AC44" s="15"/>
      <c r="AD44" s="15"/>
      <c r="AE44" s="15"/>
      <c r="AF44" s="15"/>
      <c r="AG44" s="15"/>
      <c r="AH44" s="83" t="e">
        <f ca="1">IF(AH33+4&gt;12,AH33+4-12,AH33+4)</f>
        <v>#NAME?</v>
      </c>
      <c r="AI44" s="15"/>
      <c r="AJ44" s="15"/>
      <c r="AK44" s="15"/>
      <c r="AL44" s="15"/>
      <c r="AM44" s="15"/>
      <c r="AN44" s="15"/>
      <c r="AO44" s="13"/>
      <c r="AP44" s="83" t="e">
        <f ca="1">IF(AP33+4&gt;12,AP33+4-12,AP33+4)</f>
        <v>#NAME?</v>
      </c>
      <c r="AQ44" s="15"/>
      <c r="AR44" s="15"/>
      <c r="AS44" s="15"/>
      <c r="AT44" s="15"/>
      <c r="AU44" s="15"/>
      <c r="AV44" s="15"/>
      <c r="AW44" s="3"/>
      <c r="AX44" s="3"/>
    </row>
    <row r="45" spans="1:50" ht="18.75" customHeight="1" thickBot="1">
      <c r="A45" s="3">
        <f t="shared" si="8"/>
        <v>2</v>
      </c>
      <c r="B45" s="23" t="s">
        <v>21</v>
      </c>
      <c r="C45" s="24" t="e">
        <f t="shared" ca="1" si="15"/>
        <v>#NAME?</v>
      </c>
      <c r="D45" s="25"/>
      <c r="E45" s="32"/>
      <c r="F45" s="33">
        <v>1</v>
      </c>
      <c r="G45" s="28">
        <v>1</v>
      </c>
      <c r="H45" s="34"/>
      <c r="I45" s="2"/>
      <c r="J45" s="2"/>
      <c r="K45" s="29">
        <f t="shared" si="9"/>
        <v>1.8</v>
      </c>
      <c r="L45" s="29">
        <f t="shared" si="10"/>
        <v>2.25</v>
      </c>
      <c r="M45" s="29">
        <f t="shared" si="11"/>
        <v>2.125</v>
      </c>
      <c r="N45" s="30">
        <f t="shared" si="12"/>
        <v>5</v>
      </c>
      <c r="O45" s="31">
        <f t="shared" si="16"/>
        <v>12</v>
      </c>
      <c r="P45" s="82">
        <f t="shared" si="14"/>
        <v>7</v>
      </c>
      <c r="Q45" s="3"/>
      <c r="R45" s="2"/>
      <c r="S45" s="2"/>
      <c r="T45" s="2"/>
      <c r="U45" s="2"/>
      <c r="V45" s="2"/>
      <c r="W45" s="2"/>
      <c r="X45" s="2"/>
      <c r="Y45" s="2"/>
      <c r="Z45" s="116"/>
      <c r="AA45" s="117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3"/>
      <c r="AX45" s="3"/>
    </row>
    <row r="46" spans="1:50" ht="18.75" customHeight="1" thickBot="1">
      <c r="A46" s="3">
        <f t="shared" si="8"/>
        <v>3</v>
      </c>
      <c r="B46" s="23" t="s">
        <v>21</v>
      </c>
      <c r="C46" s="24" t="e">
        <f t="shared" ca="1" si="15"/>
        <v>#NAME?</v>
      </c>
      <c r="D46" s="25"/>
      <c r="E46" s="32"/>
      <c r="F46" s="33">
        <v>1</v>
      </c>
      <c r="G46" s="28">
        <v>1</v>
      </c>
      <c r="H46" s="34">
        <v>1</v>
      </c>
      <c r="I46" s="2"/>
      <c r="J46" s="2"/>
      <c r="K46" s="29">
        <f t="shared" si="9"/>
        <v>2.1</v>
      </c>
      <c r="L46" s="29">
        <f t="shared" si="10"/>
        <v>2.625</v>
      </c>
      <c r="M46" s="29">
        <f t="shared" si="11"/>
        <v>2.5</v>
      </c>
      <c r="N46" s="30">
        <f t="shared" si="12"/>
        <v>5</v>
      </c>
      <c r="O46" s="31">
        <f t="shared" si="16"/>
        <v>9</v>
      </c>
      <c r="P46" s="82">
        <f t="shared" si="14"/>
        <v>4</v>
      </c>
      <c r="Q46" s="3"/>
      <c r="R46" s="118" t="e">
        <f ca="1">_xludf.IFS(R44=1,"J A N U A R Y",R44=2,"F E B R U A R Y",R44=3,"M A R C H",R44=4,"A P R I L",R44=5, "M A Y",R44=6, "J U N E",R44=7, "J U L Y",R44=8,"A U G U S T ",R44=9,"S E P T E M B E R ",R44=10,"O C T O B E R",R44=11,"N O V E M B E R",R44=12,"D E C E M B E R")</f>
        <v>#NAME?</v>
      </c>
      <c r="S46" s="108"/>
      <c r="T46" s="108"/>
      <c r="U46" s="108"/>
      <c r="V46" s="108"/>
      <c r="W46" s="108"/>
      <c r="X46" s="109"/>
      <c r="Y46" s="4"/>
      <c r="Z46" s="114" t="e">
        <f ca="1">_xludf.IFS(Z44=1,"J A N U A R Y",Z44=2,"F E B R U A R Y",Z44=3,"M A R C H",Z44=4,"A P R I L",Z44=5, "M A Y",Z44=6, "J U N E",Z44=7, "J U L Y",Z44=8,"A U G U S T ",Z44=9,"S E P T E M B E R ",Z44=10,"O C T O B E R",Z44=11,"N O V E M B E R",Z44=12,"D E C E M B E R")</f>
        <v>#NAME?</v>
      </c>
      <c r="AA46" s="108"/>
      <c r="AB46" s="108"/>
      <c r="AC46" s="108"/>
      <c r="AD46" s="108"/>
      <c r="AE46" s="108"/>
      <c r="AF46" s="109"/>
      <c r="AG46" s="4"/>
      <c r="AH46" s="107" t="e">
        <f ca="1">_xludf.IFS(AH44=1,"J A N U A R Y",AH44=2,"F E B R U A R Y",AH44=3,"M A R C H",AH44=4,"A P R I L",AH44=5, "M A Y",AH44=6, "J U N E",AH44=7, "J U L Y",AH44=8,"A U G U S T ",AH44=9,"S E P T E M B E R ",AH44=10,"O C T O B E R",AH44=11,"N O V E M B E R",AH44=12,"D E C E M B E R")</f>
        <v>#NAME?</v>
      </c>
      <c r="AI46" s="108"/>
      <c r="AJ46" s="108"/>
      <c r="AK46" s="108"/>
      <c r="AL46" s="108"/>
      <c r="AM46" s="108"/>
      <c r="AN46" s="109"/>
      <c r="AO46" s="4"/>
      <c r="AP46" s="113" t="e">
        <f ca="1">_xludf.IFS(AP44=1,"J A N U A R Y",AP44=2,"F E B R U A R Y",AP44=3,"M A R C H",AP44=4,"A P R I L",AP44=5, "M A Y",AP44=6, "J U N E",AP44=7, "J U L Y",AP44=8,"A U G U S T ",AP44=9,"S E P T E M B E R ",AP44=10,"O C T O B E R",AP44=11,"N O V E M B E R",AP44=12,"D E C E M B E R")</f>
        <v>#NAME?</v>
      </c>
      <c r="AQ46" s="108"/>
      <c r="AR46" s="108"/>
      <c r="AS46" s="108"/>
      <c r="AT46" s="108"/>
      <c r="AU46" s="108"/>
      <c r="AV46" s="109"/>
      <c r="AW46" s="5"/>
      <c r="AX46" s="5"/>
    </row>
    <row r="47" spans="1:50" ht="18.75" customHeight="1" thickBot="1">
      <c r="A47" s="3">
        <f t="shared" si="8"/>
        <v>1</v>
      </c>
      <c r="B47" s="23" t="s">
        <v>21</v>
      </c>
      <c r="C47" s="24" t="e">
        <f t="shared" ca="1" si="15"/>
        <v>#NAME?</v>
      </c>
      <c r="D47" s="25"/>
      <c r="E47" s="32"/>
      <c r="F47" s="33"/>
      <c r="G47" s="28">
        <v>1</v>
      </c>
      <c r="H47" s="34"/>
      <c r="I47" s="2"/>
      <c r="J47" s="2"/>
      <c r="K47" s="29">
        <f t="shared" si="9"/>
        <v>2.1</v>
      </c>
      <c r="L47" s="29">
        <f t="shared" si="10"/>
        <v>2.625</v>
      </c>
      <c r="M47" s="29">
        <f t="shared" si="11"/>
        <v>2.25</v>
      </c>
      <c r="N47" s="30">
        <f t="shared" si="12"/>
        <v>5</v>
      </c>
      <c r="O47" s="31">
        <f t="shared" si="16"/>
        <v>9</v>
      </c>
      <c r="P47" s="82">
        <f t="shared" si="14"/>
        <v>6</v>
      </c>
      <c r="Q47" s="3"/>
      <c r="R47" s="110"/>
      <c r="S47" s="111"/>
      <c r="T47" s="111"/>
      <c r="U47" s="111"/>
      <c r="V47" s="111"/>
      <c r="W47" s="111"/>
      <c r="X47" s="112"/>
      <c r="Y47" s="4"/>
      <c r="Z47" s="110"/>
      <c r="AA47" s="111"/>
      <c r="AB47" s="111"/>
      <c r="AC47" s="111"/>
      <c r="AD47" s="111"/>
      <c r="AE47" s="111"/>
      <c r="AF47" s="112"/>
      <c r="AG47" s="4"/>
      <c r="AH47" s="110"/>
      <c r="AI47" s="111"/>
      <c r="AJ47" s="111"/>
      <c r="AK47" s="111"/>
      <c r="AL47" s="111"/>
      <c r="AM47" s="111"/>
      <c r="AN47" s="112"/>
      <c r="AO47" s="4"/>
      <c r="AP47" s="110"/>
      <c r="AQ47" s="111"/>
      <c r="AR47" s="111"/>
      <c r="AS47" s="111"/>
      <c r="AT47" s="111"/>
      <c r="AU47" s="111"/>
      <c r="AV47" s="112"/>
      <c r="AW47" s="3"/>
      <c r="AX47" s="3"/>
    </row>
    <row r="48" spans="1:50" ht="18.75" customHeight="1" thickBot="1">
      <c r="A48" s="3">
        <f t="shared" si="8"/>
        <v>2</v>
      </c>
      <c r="B48" s="23" t="s">
        <v>21</v>
      </c>
      <c r="C48" s="24" t="e">
        <f t="shared" ca="1" si="15"/>
        <v>#NAME?</v>
      </c>
      <c r="D48" s="25">
        <v>1</v>
      </c>
      <c r="E48" s="32"/>
      <c r="F48" s="33"/>
      <c r="G48" s="28">
        <v>1</v>
      </c>
      <c r="H48" s="34"/>
      <c r="I48" s="2"/>
      <c r="J48" s="2"/>
      <c r="K48" s="29">
        <f t="shared" si="9"/>
        <v>2.2999999999999998</v>
      </c>
      <c r="L48" s="29">
        <f t="shared" si="10"/>
        <v>2.75</v>
      </c>
      <c r="M48" s="29">
        <f t="shared" si="11"/>
        <v>2.5</v>
      </c>
      <c r="N48" s="30">
        <f t="shared" si="12"/>
        <v>5</v>
      </c>
      <c r="O48" s="31">
        <f t="shared" si="16"/>
        <v>7</v>
      </c>
      <c r="P48" s="82">
        <f t="shared" si="14"/>
        <v>4</v>
      </c>
      <c r="Q48" s="3"/>
      <c r="R48" s="48" t="s">
        <v>16</v>
      </c>
      <c r="S48" s="49" t="s">
        <v>17</v>
      </c>
      <c r="T48" s="49" t="s">
        <v>6</v>
      </c>
      <c r="U48" s="49" t="s">
        <v>18</v>
      </c>
      <c r="V48" s="49" t="s">
        <v>19</v>
      </c>
      <c r="W48" s="49" t="s">
        <v>22</v>
      </c>
      <c r="X48" s="50" t="s">
        <v>23</v>
      </c>
      <c r="Y48" s="87"/>
      <c r="Z48" s="84" t="s">
        <v>16</v>
      </c>
      <c r="AA48" s="85" t="s">
        <v>17</v>
      </c>
      <c r="AB48" s="85" t="s">
        <v>6</v>
      </c>
      <c r="AC48" s="85" t="s">
        <v>18</v>
      </c>
      <c r="AD48" s="85" t="s">
        <v>19</v>
      </c>
      <c r="AE48" s="85" t="s">
        <v>22</v>
      </c>
      <c r="AF48" s="86" t="s">
        <v>23</v>
      </c>
      <c r="AG48" s="87"/>
      <c r="AH48" s="40" t="s">
        <v>16</v>
      </c>
      <c r="AI48" s="41" t="s">
        <v>17</v>
      </c>
      <c r="AJ48" s="41" t="s">
        <v>6</v>
      </c>
      <c r="AK48" s="41" t="s">
        <v>18</v>
      </c>
      <c r="AL48" s="41" t="s">
        <v>19</v>
      </c>
      <c r="AM48" s="41" t="s">
        <v>22</v>
      </c>
      <c r="AN48" s="42" t="s">
        <v>23</v>
      </c>
      <c r="AO48" s="87"/>
      <c r="AP48" s="38" t="s">
        <v>16</v>
      </c>
      <c r="AQ48" s="39" t="s">
        <v>17</v>
      </c>
      <c r="AR48" s="39" t="s">
        <v>6</v>
      </c>
      <c r="AS48" s="39" t="s">
        <v>18</v>
      </c>
      <c r="AT48" s="39" t="s">
        <v>19</v>
      </c>
      <c r="AU48" s="39" t="s">
        <v>22</v>
      </c>
      <c r="AV48" s="44" t="s">
        <v>23</v>
      </c>
      <c r="AW48" s="3"/>
      <c r="AX48" s="3"/>
    </row>
    <row r="49" spans="1:50" ht="18.75" customHeight="1" thickBot="1">
      <c r="A49" s="3">
        <f t="shared" si="8"/>
        <v>3</v>
      </c>
      <c r="B49" s="38" t="s">
        <v>21</v>
      </c>
      <c r="C49" s="39" t="e">
        <f t="shared" ca="1" si="15"/>
        <v>#NAME?</v>
      </c>
      <c r="D49" s="25"/>
      <c r="E49" s="32">
        <v>1</v>
      </c>
      <c r="F49" s="33">
        <v>1</v>
      </c>
      <c r="G49" s="28">
        <v>1</v>
      </c>
      <c r="H49" s="34"/>
      <c r="I49" s="2"/>
      <c r="J49" s="2"/>
      <c r="K49" s="29">
        <f t="shared" si="9"/>
        <v>2.2999999999999998</v>
      </c>
      <c r="L49" s="29">
        <f t="shared" si="10"/>
        <v>2.75</v>
      </c>
      <c r="M49" s="29">
        <f t="shared" si="11"/>
        <v>2.25</v>
      </c>
      <c r="N49" s="30">
        <f t="shared" si="12"/>
        <v>5</v>
      </c>
      <c r="O49" s="31">
        <f t="shared" si="16"/>
        <v>7</v>
      </c>
      <c r="P49" s="82">
        <f t="shared" si="14"/>
        <v>6</v>
      </c>
      <c r="Q49" s="51" t="e">
        <f ca="1">Q50-1</f>
        <v>#NAME?</v>
      </c>
      <c r="R49" s="52" t="e">
        <f ca="1">R50-7</f>
        <v>#NAME?</v>
      </c>
      <c r="S49" s="53" t="e">
        <f t="shared" ref="S49:X49" ca="1" si="73">R49+1</f>
        <v>#NAME?</v>
      </c>
      <c r="T49" s="53" t="e">
        <f t="shared" ca="1" si="73"/>
        <v>#NAME?</v>
      </c>
      <c r="U49" s="53" t="e">
        <f t="shared" ca="1" si="73"/>
        <v>#NAME?</v>
      </c>
      <c r="V49" s="53" t="e">
        <f t="shared" ca="1" si="73"/>
        <v>#NAME?</v>
      </c>
      <c r="W49" s="60" t="e">
        <f t="shared" ca="1" si="73"/>
        <v>#NAME?</v>
      </c>
      <c r="X49" s="61" t="e">
        <f t="shared" ca="1" si="73"/>
        <v>#NAME?</v>
      </c>
      <c r="Y49" s="51" t="e">
        <f ca="1">Y50-1</f>
        <v>#NAME?</v>
      </c>
      <c r="Z49" s="52" t="e">
        <f ca="1">Z50-7</f>
        <v>#NAME?</v>
      </c>
      <c r="AA49" s="53" t="e">
        <f t="shared" ref="AA49:AF49" ca="1" si="74">Z49+1</f>
        <v>#NAME?</v>
      </c>
      <c r="AB49" s="53" t="e">
        <f t="shared" ca="1" si="74"/>
        <v>#NAME?</v>
      </c>
      <c r="AC49" s="53" t="e">
        <f t="shared" ca="1" si="74"/>
        <v>#NAME?</v>
      </c>
      <c r="AD49" s="53" t="e">
        <f t="shared" ca="1" si="74"/>
        <v>#NAME?</v>
      </c>
      <c r="AE49" s="88" t="e">
        <f t="shared" ca="1" si="74"/>
        <v>#NAME?</v>
      </c>
      <c r="AF49" s="89" t="e">
        <f t="shared" ca="1" si="74"/>
        <v>#NAME?</v>
      </c>
      <c r="AG49" s="51" t="e">
        <f ca="1">AG50-1</f>
        <v>#NAME?</v>
      </c>
      <c r="AH49" s="52" t="e">
        <f ca="1">AH50-7</f>
        <v>#NAME?</v>
      </c>
      <c r="AI49" s="53" t="e">
        <f t="shared" ref="AI49:AN49" ca="1" si="75">AH49+1</f>
        <v>#NAME?</v>
      </c>
      <c r="AJ49" s="53" t="e">
        <f t="shared" ca="1" si="75"/>
        <v>#NAME?</v>
      </c>
      <c r="AK49" s="53" t="e">
        <f t="shared" ca="1" si="75"/>
        <v>#NAME?</v>
      </c>
      <c r="AL49" s="53" t="e">
        <f t="shared" ca="1" si="75"/>
        <v>#NAME?</v>
      </c>
      <c r="AM49" s="54" t="e">
        <f t="shared" ca="1" si="75"/>
        <v>#NAME?</v>
      </c>
      <c r="AN49" s="55" t="e">
        <f t="shared" ca="1" si="75"/>
        <v>#NAME?</v>
      </c>
      <c r="AO49" s="51" t="e">
        <f ca="1">AO50-1</f>
        <v>#NAME?</v>
      </c>
      <c r="AP49" s="52" t="e">
        <f ca="1">AP50-7</f>
        <v>#NAME?</v>
      </c>
      <c r="AQ49" s="53" t="e">
        <f t="shared" ref="AQ49:AV49" ca="1" si="76">AP49+1</f>
        <v>#NAME?</v>
      </c>
      <c r="AR49" s="53" t="e">
        <f t="shared" ca="1" si="76"/>
        <v>#NAME?</v>
      </c>
      <c r="AS49" s="53" t="e">
        <f t="shared" ca="1" si="76"/>
        <v>#NAME?</v>
      </c>
      <c r="AT49" s="53" t="e">
        <f t="shared" ca="1" si="76"/>
        <v>#NAME?</v>
      </c>
      <c r="AU49" s="56" t="e">
        <f t="shared" ca="1" si="76"/>
        <v>#NAME?</v>
      </c>
      <c r="AV49" s="57" t="e">
        <f t="shared" ca="1" si="76"/>
        <v>#NAME?</v>
      </c>
      <c r="AW49" s="3"/>
      <c r="AX49" s="3"/>
    </row>
    <row r="50" spans="1:50" ht="18.75" customHeight="1" thickBot="1">
      <c r="A50" s="3">
        <f t="shared" si="8"/>
        <v>4</v>
      </c>
      <c r="B50" s="23" t="s">
        <v>21</v>
      </c>
      <c r="C50" s="24" t="e">
        <f t="shared" ca="1" si="15"/>
        <v>#NAME?</v>
      </c>
      <c r="D50" s="25"/>
      <c r="E50" s="32">
        <v>1</v>
      </c>
      <c r="F50" s="33">
        <v>1</v>
      </c>
      <c r="G50" s="28">
        <v>1</v>
      </c>
      <c r="H50" s="34">
        <v>1</v>
      </c>
      <c r="I50" s="2"/>
      <c r="J50" s="2"/>
      <c r="K50" s="29">
        <f t="shared" si="9"/>
        <v>2.7</v>
      </c>
      <c r="L50" s="29">
        <f t="shared" si="10"/>
        <v>3</v>
      </c>
      <c r="M50" s="29">
        <f t="shared" si="11"/>
        <v>2.5</v>
      </c>
      <c r="N50" s="30">
        <f t="shared" si="12"/>
        <v>4</v>
      </c>
      <c r="O50" s="31">
        <f t="shared" si="16"/>
        <v>3</v>
      </c>
      <c r="P50" s="82">
        <f t="shared" si="14"/>
        <v>4</v>
      </c>
      <c r="Q50" s="51" t="e">
        <f ca="1">WEEKNUM(DATE(YEAR(A1),MONTH(A1)+8,1+1*7)-WEEKDAY(DATE(YEAR(A1),MONTH(A1)+8,8-2)))</f>
        <v>#NAME?</v>
      </c>
      <c r="R50" s="62" t="e">
        <f ca="1">DATE(YEAR(A1),MONTH(A1)+8,1+1*7)-WEEKDAY(DATE(YEAR(A1),MONTH(A1)+8,8-2))</f>
        <v>#NAME?</v>
      </c>
      <c r="S50" s="63" t="e">
        <f t="shared" ref="S50:X50" ca="1" si="77">S49+7</f>
        <v>#NAME?</v>
      </c>
      <c r="T50" s="63" t="e">
        <f t="shared" ca="1" si="77"/>
        <v>#NAME?</v>
      </c>
      <c r="U50" s="63" t="e">
        <f t="shared" ca="1" si="77"/>
        <v>#NAME?</v>
      </c>
      <c r="V50" s="63" t="e">
        <f t="shared" ca="1" si="77"/>
        <v>#NAME?</v>
      </c>
      <c r="W50" s="70" t="e">
        <f t="shared" ca="1" si="77"/>
        <v>#NAME?</v>
      </c>
      <c r="X50" s="71" t="e">
        <f t="shared" ca="1" si="77"/>
        <v>#NAME?</v>
      </c>
      <c r="Y50" s="51" t="e">
        <f ca="1">WEEKNUM(DATE(YEAR(A1),MONTH(A1)+9,1+1*7)-WEEKDAY(DATE(YEAR(A1),MONTH(A1)+9,8-2)))</f>
        <v>#NAME?</v>
      </c>
      <c r="Z50" s="62" t="e">
        <f ca="1">DATE(YEAR(A1),MONTH(A1)+9,1+1*7)-WEEKDAY(DATE(YEAR(A1),MONTH(A1)+9,8-2))</f>
        <v>#NAME?</v>
      </c>
      <c r="AA50" s="63" t="e">
        <f t="shared" ref="AA50:AF50" ca="1" si="78">AA49+7</f>
        <v>#NAME?</v>
      </c>
      <c r="AB50" s="63" t="e">
        <f t="shared" ca="1" si="78"/>
        <v>#NAME?</v>
      </c>
      <c r="AC50" s="63" t="e">
        <f t="shared" ca="1" si="78"/>
        <v>#NAME?</v>
      </c>
      <c r="AD50" s="63" t="e">
        <f t="shared" ca="1" si="78"/>
        <v>#NAME?</v>
      </c>
      <c r="AE50" s="90" t="e">
        <f t="shared" ca="1" si="78"/>
        <v>#NAME?</v>
      </c>
      <c r="AF50" s="91" t="e">
        <f t="shared" ca="1" si="78"/>
        <v>#NAME?</v>
      </c>
      <c r="AG50" s="51" t="e">
        <f ca="1">WEEKNUM(DATE(YEAR(A1),MONTH(A1)+10,1+1*7)-WEEKDAY(DATE(YEAR(A1),MONTH(A1)+10,8-2)))</f>
        <v>#NAME?</v>
      </c>
      <c r="AH50" s="62" t="e">
        <f ca="1">DATE(YEAR(A1),MONTH(A1)+10,1+1*7)-WEEKDAY(DATE(YEAR(A1),MONTH(A1)+10,8-2))</f>
        <v>#NAME?</v>
      </c>
      <c r="AI50" s="63" t="e">
        <f t="shared" ref="AI50:AN50" ca="1" si="79">AI49+7</f>
        <v>#NAME?</v>
      </c>
      <c r="AJ50" s="63" t="e">
        <f t="shared" ca="1" si="79"/>
        <v>#NAME?</v>
      </c>
      <c r="AK50" s="63" t="e">
        <f t="shared" ca="1" si="79"/>
        <v>#NAME?</v>
      </c>
      <c r="AL50" s="63" t="e">
        <f t="shared" ca="1" si="79"/>
        <v>#NAME?</v>
      </c>
      <c r="AM50" s="64" t="e">
        <f t="shared" ca="1" si="79"/>
        <v>#NAME?</v>
      </c>
      <c r="AN50" s="65" t="e">
        <f t="shared" ca="1" si="79"/>
        <v>#NAME?</v>
      </c>
      <c r="AO50" s="51" t="e">
        <f ca="1">WEEKNUM(DATE(YEAR(A1),MONTH(A1)+11,1+1*7)-WEEKDAY(DATE(YEAR(A1),MONTH(A1)+11,8-2)))</f>
        <v>#NAME?</v>
      </c>
      <c r="AP50" s="62" t="e">
        <f ca="1">DATE(YEAR(A1),MONTH(A1)+11,1+1*7)-WEEKDAY(DATE(YEAR(A1),MONTH(A1)+11,8-2))</f>
        <v>#NAME?</v>
      </c>
      <c r="AQ50" s="63" t="e">
        <f t="shared" ref="AQ50:AV50" ca="1" si="80">AQ49+7</f>
        <v>#NAME?</v>
      </c>
      <c r="AR50" s="63" t="e">
        <f t="shared" ca="1" si="80"/>
        <v>#NAME?</v>
      </c>
      <c r="AS50" s="63" t="e">
        <f t="shared" ca="1" si="80"/>
        <v>#NAME?</v>
      </c>
      <c r="AT50" s="63" t="e">
        <f t="shared" ca="1" si="80"/>
        <v>#NAME?</v>
      </c>
      <c r="AU50" s="66" t="e">
        <f t="shared" ca="1" si="80"/>
        <v>#NAME?</v>
      </c>
      <c r="AV50" s="67" t="e">
        <f t="shared" ca="1" si="80"/>
        <v>#NAME?</v>
      </c>
      <c r="AW50" s="3"/>
      <c r="AX50" s="3"/>
    </row>
    <row r="51" spans="1:50" ht="18.75" customHeight="1" thickBot="1">
      <c r="A51" s="3">
        <f t="shared" si="8"/>
        <v>0</v>
      </c>
      <c r="B51" s="23" t="s">
        <v>21</v>
      </c>
      <c r="C51" s="24" t="e">
        <f t="shared" ca="1" si="15"/>
        <v>#NAME?</v>
      </c>
      <c r="D51" s="25"/>
      <c r="E51" s="32"/>
      <c r="F51" s="33"/>
      <c r="G51" s="28"/>
      <c r="H51" s="34"/>
      <c r="I51" s="2"/>
      <c r="J51" s="2"/>
      <c r="K51" s="29">
        <f t="shared" si="9"/>
        <v>2.2000000000000002</v>
      </c>
      <c r="L51" s="29">
        <f t="shared" si="10"/>
        <v>2.625</v>
      </c>
      <c r="M51" s="29">
        <f t="shared" si="11"/>
        <v>2.125</v>
      </c>
      <c r="N51" s="30">
        <f t="shared" si="12"/>
        <v>5</v>
      </c>
      <c r="O51" s="31">
        <f t="shared" si="16"/>
        <v>8</v>
      </c>
      <c r="P51" s="82">
        <f t="shared" si="14"/>
        <v>7</v>
      </c>
      <c r="Q51" s="51" t="e">
        <f t="shared" ref="Q51:Q53" ca="1" si="81">Q50+1</f>
        <v>#NAME?</v>
      </c>
      <c r="R51" s="62" t="e">
        <f t="shared" ref="R51:X51" ca="1" si="82">R50+7</f>
        <v>#NAME?</v>
      </c>
      <c r="S51" s="63" t="e">
        <f t="shared" ca="1" si="82"/>
        <v>#NAME?</v>
      </c>
      <c r="T51" s="63" t="e">
        <f t="shared" ca="1" si="82"/>
        <v>#NAME?</v>
      </c>
      <c r="U51" s="63" t="e">
        <f t="shared" ca="1" si="82"/>
        <v>#NAME?</v>
      </c>
      <c r="V51" s="63" t="e">
        <f t="shared" ca="1" si="82"/>
        <v>#NAME?</v>
      </c>
      <c r="W51" s="70" t="e">
        <f t="shared" ca="1" si="82"/>
        <v>#NAME?</v>
      </c>
      <c r="X51" s="71" t="e">
        <f t="shared" ca="1" si="82"/>
        <v>#NAME?</v>
      </c>
      <c r="Y51" s="51" t="e">
        <f t="shared" ref="Y51:Y53" ca="1" si="83">Y50+1</f>
        <v>#NAME?</v>
      </c>
      <c r="Z51" s="62" t="e">
        <f t="shared" ref="Z51:AF51" ca="1" si="84">Z50+7</f>
        <v>#NAME?</v>
      </c>
      <c r="AA51" s="63" t="e">
        <f t="shared" ca="1" si="84"/>
        <v>#NAME?</v>
      </c>
      <c r="AB51" s="63" t="e">
        <f t="shared" ca="1" si="84"/>
        <v>#NAME?</v>
      </c>
      <c r="AC51" s="63" t="e">
        <f t="shared" ca="1" si="84"/>
        <v>#NAME?</v>
      </c>
      <c r="AD51" s="63" t="e">
        <f t="shared" ca="1" si="84"/>
        <v>#NAME?</v>
      </c>
      <c r="AE51" s="90" t="e">
        <f t="shared" ca="1" si="84"/>
        <v>#NAME?</v>
      </c>
      <c r="AF51" s="91" t="e">
        <f t="shared" ca="1" si="84"/>
        <v>#NAME?</v>
      </c>
      <c r="AG51" s="51" t="e">
        <f t="shared" ref="AG51:AG53" ca="1" si="85">AG50+1</f>
        <v>#NAME?</v>
      </c>
      <c r="AH51" s="62" t="e">
        <f t="shared" ref="AH51:AN51" ca="1" si="86">AH50+7</f>
        <v>#NAME?</v>
      </c>
      <c r="AI51" s="63" t="e">
        <f t="shared" ca="1" si="86"/>
        <v>#NAME?</v>
      </c>
      <c r="AJ51" s="63" t="e">
        <f t="shared" ca="1" si="86"/>
        <v>#NAME?</v>
      </c>
      <c r="AK51" s="63" t="e">
        <f t="shared" ca="1" si="86"/>
        <v>#NAME?</v>
      </c>
      <c r="AL51" s="63" t="e">
        <f t="shared" ca="1" si="86"/>
        <v>#NAME?</v>
      </c>
      <c r="AM51" s="64" t="e">
        <f t="shared" ca="1" si="86"/>
        <v>#NAME?</v>
      </c>
      <c r="AN51" s="65" t="e">
        <f t="shared" ca="1" si="86"/>
        <v>#NAME?</v>
      </c>
      <c r="AO51" s="51" t="e">
        <f t="shared" ref="AO51:AO53" ca="1" si="87">AO50+1</f>
        <v>#NAME?</v>
      </c>
      <c r="AP51" s="62" t="e">
        <f t="shared" ref="AP51:AV51" ca="1" si="88">AP50+7</f>
        <v>#NAME?</v>
      </c>
      <c r="AQ51" s="63" t="e">
        <f t="shared" ca="1" si="88"/>
        <v>#NAME?</v>
      </c>
      <c r="AR51" s="63" t="e">
        <f t="shared" ca="1" si="88"/>
        <v>#NAME?</v>
      </c>
      <c r="AS51" s="63" t="e">
        <f t="shared" ca="1" si="88"/>
        <v>#NAME?</v>
      </c>
      <c r="AT51" s="63" t="e">
        <f t="shared" ca="1" si="88"/>
        <v>#NAME?</v>
      </c>
      <c r="AU51" s="66" t="e">
        <f t="shared" ca="1" si="88"/>
        <v>#NAME?</v>
      </c>
      <c r="AV51" s="67" t="e">
        <f t="shared" ca="1" si="88"/>
        <v>#NAME?</v>
      </c>
      <c r="AW51" s="3"/>
      <c r="AX51" s="3"/>
    </row>
    <row r="52" spans="1:50" ht="18.75" customHeight="1">
      <c r="A52" s="3">
        <f t="shared" si="8"/>
        <v>0</v>
      </c>
      <c r="B52" s="23" t="s">
        <v>21</v>
      </c>
      <c r="C52" s="24" t="e">
        <f t="shared" ca="1" si="15"/>
        <v>#NAME?</v>
      </c>
      <c r="D52" s="25"/>
      <c r="E52" s="32"/>
      <c r="F52" s="33"/>
      <c r="G52" s="28"/>
      <c r="H52" s="34"/>
      <c r="I52" s="2"/>
      <c r="J52" s="2"/>
      <c r="K52" s="29">
        <f t="shared" si="9"/>
        <v>2</v>
      </c>
      <c r="L52" s="29">
        <f t="shared" si="10"/>
        <v>2.5</v>
      </c>
      <c r="M52" s="29">
        <f t="shared" si="11"/>
        <v>1.875</v>
      </c>
      <c r="N52" s="30">
        <f t="shared" si="12"/>
        <v>5</v>
      </c>
      <c r="O52" s="31">
        <f t="shared" si="16"/>
        <v>10</v>
      </c>
      <c r="P52" s="82">
        <f t="shared" si="14"/>
        <v>9</v>
      </c>
      <c r="Q52" s="51" t="e">
        <f t="shared" ca="1" si="81"/>
        <v>#NAME?</v>
      </c>
      <c r="R52" s="62" t="e">
        <f t="shared" ref="R52:X52" ca="1" si="89">R51+7</f>
        <v>#NAME?</v>
      </c>
      <c r="S52" s="63" t="e">
        <f t="shared" ca="1" si="89"/>
        <v>#NAME?</v>
      </c>
      <c r="T52" s="63" t="e">
        <f t="shared" ca="1" si="89"/>
        <v>#NAME?</v>
      </c>
      <c r="U52" s="63" t="e">
        <f t="shared" ca="1" si="89"/>
        <v>#NAME?</v>
      </c>
      <c r="V52" s="63" t="e">
        <f t="shared" ca="1" si="89"/>
        <v>#NAME?</v>
      </c>
      <c r="W52" s="70" t="e">
        <f t="shared" ca="1" si="89"/>
        <v>#NAME?</v>
      </c>
      <c r="X52" s="71" t="e">
        <f t="shared" ca="1" si="89"/>
        <v>#NAME?</v>
      </c>
      <c r="Y52" s="51" t="e">
        <f t="shared" ca="1" si="83"/>
        <v>#NAME?</v>
      </c>
      <c r="Z52" s="62" t="e">
        <f t="shared" ref="Z52:AF52" ca="1" si="90">Z51+7</f>
        <v>#NAME?</v>
      </c>
      <c r="AA52" s="63" t="e">
        <f t="shared" ca="1" si="90"/>
        <v>#NAME?</v>
      </c>
      <c r="AB52" s="63" t="e">
        <f t="shared" ca="1" si="90"/>
        <v>#NAME?</v>
      </c>
      <c r="AC52" s="63" t="e">
        <f t="shared" ca="1" si="90"/>
        <v>#NAME?</v>
      </c>
      <c r="AD52" s="63" t="e">
        <f t="shared" ca="1" si="90"/>
        <v>#NAME?</v>
      </c>
      <c r="AE52" s="90" t="e">
        <f t="shared" ca="1" si="90"/>
        <v>#NAME?</v>
      </c>
      <c r="AF52" s="91" t="e">
        <f t="shared" ca="1" si="90"/>
        <v>#NAME?</v>
      </c>
      <c r="AG52" s="51" t="e">
        <f t="shared" ca="1" si="85"/>
        <v>#NAME?</v>
      </c>
      <c r="AH52" s="62" t="e">
        <f t="shared" ref="AH52:AN52" ca="1" si="91">AH51+7</f>
        <v>#NAME?</v>
      </c>
      <c r="AI52" s="63" t="e">
        <f t="shared" ca="1" si="91"/>
        <v>#NAME?</v>
      </c>
      <c r="AJ52" s="63" t="e">
        <f t="shared" ca="1" si="91"/>
        <v>#NAME?</v>
      </c>
      <c r="AK52" s="63" t="e">
        <f t="shared" ca="1" si="91"/>
        <v>#NAME?</v>
      </c>
      <c r="AL52" s="63" t="e">
        <f t="shared" ca="1" si="91"/>
        <v>#NAME?</v>
      </c>
      <c r="AM52" s="64" t="e">
        <f t="shared" ca="1" si="91"/>
        <v>#NAME?</v>
      </c>
      <c r="AN52" s="65" t="e">
        <f t="shared" ca="1" si="91"/>
        <v>#NAME?</v>
      </c>
      <c r="AO52" s="51" t="e">
        <f t="shared" ca="1" si="87"/>
        <v>#NAME?</v>
      </c>
      <c r="AP52" s="62" t="e">
        <f t="shared" ref="AP52:AV52" ca="1" si="92">AP51+7</f>
        <v>#NAME?</v>
      </c>
      <c r="AQ52" s="63" t="e">
        <f t="shared" ca="1" si="92"/>
        <v>#NAME?</v>
      </c>
      <c r="AR52" s="63" t="e">
        <f t="shared" ca="1" si="92"/>
        <v>#NAME?</v>
      </c>
      <c r="AS52" s="63" t="e">
        <f t="shared" ca="1" si="92"/>
        <v>#NAME?</v>
      </c>
      <c r="AT52" s="63" t="e">
        <f t="shared" ca="1" si="92"/>
        <v>#NAME?</v>
      </c>
      <c r="AU52" s="66" t="e">
        <f t="shared" ca="1" si="92"/>
        <v>#NAME?</v>
      </c>
      <c r="AV52" s="67" t="e">
        <f t="shared" ca="1" si="92"/>
        <v>#NAME?</v>
      </c>
      <c r="AW52" s="3"/>
      <c r="AX52" s="3"/>
    </row>
    <row r="53" spans="1:50" ht="18.75" customHeight="1">
      <c r="A53" s="3">
        <f t="shared" si="8"/>
        <v>0</v>
      </c>
      <c r="B53" s="23" t="s">
        <v>21</v>
      </c>
      <c r="C53" s="24" t="e">
        <f t="shared" ca="1" si="15"/>
        <v>#NAME?</v>
      </c>
      <c r="D53" s="25"/>
      <c r="E53" s="32"/>
      <c r="F53" s="33"/>
      <c r="G53" s="28"/>
      <c r="H53" s="34"/>
      <c r="I53" s="2"/>
      <c r="J53" s="2"/>
      <c r="K53" s="29">
        <f t="shared" si="9"/>
        <v>1.7</v>
      </c>
      <c r="L53" s="29">
        <f t="shared" si="10"/>
        <v>2.125</v>
      </c>
      <c r="M53" s="29">
        <f t="shared" si="11"/>
        <v>1.875</v>
      </c>
      <c r="N53" s="30">
        <f t="shared" si="12"/>
        <v>5</v>
      </c>
      <c r="O53" s="31">
        <f t="shared" si="16"/>
        <v>13</v>
      </c>
      <c r="P53" s="82">
        <f t="shared" si="14"/>
        <v>9</v>
      </c>
      <c r="Q53" s="51" t="e">
        <f t="shared" ca="1" si="81"/>
        <v>#NAME?</v>
      </c>
      <c r="R53" s="62" t="e">
        <f t="shared" ref="R53:X53" ca="1" si="93">R52+7</f>
        <v>#NAME?</v>
      </c>
      <c r="S53" s="63" t="e">
        <f t="shared" ca="1" si="93"/>
        <v>#NAME?</v>
      </c>
      <c r="T53" s="63" t="e">
        <f t="shared" ca="1" si="93"/>
        <v>#NAME?</v>
      </c>
      <c r="U53" s="63" t="e">
        <f t="shared" ca="1" si="93"/>
        <v>#NAME?</v>
      </c>
      <c r="V53" s="63" t="e">
        <f t="shared" ca="1" si="93"/>
        <v>#NAME?</v>
      </c>
      <c r="W53" s="70" t="e">
        <f t="shared" ca="1" si="93"/>
        <v>#NAME?</v>
      </c>
      <c r="X53" s="71" t="e">
        <f t="shared" ca="1" si="93"/>
        <v>#NAME?</v>
      </c>
      <c r="Y53" s="51" t="e">
        <f t="shared" ca="1" si="83"/>
        <v>#NAME?</v>
      </c>
      <c r="Z53" s="62" t="e">
        <f t="shared" ref="Z53:AF53" ca="1" si="94">Z52+7</f>
        <v>#NAME?</v>
      </c>
      <c r="AA53" s="63" t="e">
        <f t="shared" ca="1" si="94"/>
        <v>#NAME?</v>
      </c>
      <c r="AB53" s="63" t="e">
        <f t="shared" ca="1" si="94"/>
        <v>#NAME?</v>
      </c>
      <c r="AC53" s="63" t="e">
        <f t="shared" ca="1" si="94"/>
        <v>#NAME?</v>
      </c>
      <c r="AD53" s="63" t="e">
        <f t="shared" ca="1" si="94"/>
        <v>#NAME?</v>
      </c>
      <c r="AE53" s="90" t="e">
        <f t="shared" ca="1" si="94"/>
        <v>#NAME?</v>
      </c>
      <c r="AF53" s="91" t="e">
        <f t="shared" ca="1" si="94"/>
        <v>#NAME?</v>
      </c>
      <c r="AG53" s="51" t="e">
        <f t="shared" ca="1" si="85"/>
        <v>#NAME?</v>
      </c>
      <c r="AH53" s="62" t="e">
        <f t="shared" ref="AH53:AN53" ca="1" si="95">AH52+7</f>
        <v>#NAME?</v>
      </c>
      <c r="AI53" s="63" t="e">
        <f t="shared" ca="1" si="95"/>
        <v>#NAME?</v>
      </c>
      <c r="AJ53" s="63" t="e">
        <f t="shared" ca="1" si="95"/>
        <v>#NAME?</v>
      </c>
      <c r="AK53" s="63" t="e">
        <f t="shared" ca="1" si="95"/>
        <v>#NAME?</v>
      </c>
      <c r="AL53" s="63" t="e">
        <f t="shared" ca="1" si="95"/>
        <v>#NAME?</v>
      </c>
      <c r="AM53" s="64" t="e">
        <f t="shared" ca="1" si="95"/>
        <v>#NAME?</v>
      </c>
      <c r="AN53" s="65" t="e">
        <f t="shared" ca="1" si="95"/>
        <v>#NAME?</v>
      </c>
      <c r="AO53" s="51" t="e">
        <f t="shared" ca="1" si="87"/>
        <v>#NAME?</v>
      </c>
      <c r="AP53" s="62" t="e">
        <f t="shared" ref="AP53:AV53" ca="1" si="96">AP52+7</f>
        <v>#NAME?</v>
      </c>
      <c r="AQ53" s="63" t="e">
        <f t="shared" ca="1" si="96"/>
        <v>#NAME?</v>
      </c>
      <c r="AR53" s="63" t="e">
        <f t="shared" ca="1" si="96"/>
        <v>#NAME?</v>
      </c>
      <c r="AS53" s="63" t="e">
        <f t="shared" ca="1" si="96"/>
        <v>#NAME?</v>
      </c>
      <c r="AT53" s="63" t="e">
        <f t="shared" ca="1" si="96"/>
        <v>#NAME?</v>
      </c>
      <c r="AU53" s="66" t="e">
        <f t="shared" ca="1" si="96"/>
        <v>#NAME?</v>
      </c>
      <c r="AV53" s="67" t="e">
        <f t="shared" ca="1" si="96"/>
        <v>#NAME?</v>
      </c>
      <c r="AW53" s="3"/>
      <c r="AX53" s="3"/>
    </row>
    <row r="54" spans="1:50" ht="18.75" customHeight="1">
      <c r="A54" s="3">
        <f t="shared" si="8"/>
        <v>0</v>
      </c>
      <c r="B54" s="23" t="s">
        <v>21</v>
      </c>
      <c r="C54" s="24" t="e">
        <f t="shared" ca="1" si="15"/>
        <v>#NAME?</v>
      </c>
      <c r="D54" s="25"/>
      <c r="E54" s="32"/>
      <c r="F54" s="33"/>
      <c r="G54" s="28"/>
      <c r="H54" s="34"/>
      <c r="I54" s="2"/>
      <c r="J54" s="2"/>
      <c r="K54" s="29">
        <f t="shared" si="9"/>
        <v>1.5</v>
      </c>
      <c r="L54" s="29">
        <f t="shared" si="10"/>
        <v>1.875</v>
      </c>
      <c r="M54" s="29">
        <f t="shared" si="11"/>
        <v>1.875</v>
      </c>
      <c r="N54" s="30">
        <f t="shared" si="12"/>
        <v>5</v>
      </c>
      <c r="O54" s="31">
        <f t="shared" si="16"/>
        <v>15</v>
      </c>
      <c r="P54" s="82">
        <f t="shared" si="14"/>
        <v>9</v>
      </c>
      <c r="Q54" s="51" t="e">
        <f ca="1">IF(Q53=52,1,Q53+1)</f>
        <v>#NAME?</v>
      </c>
      <c r="R54" s="72" t="e">
        <f t="shared" ref="R54:X54" ca="1" si="97">R53+7</f>
        <v>#NAME?</v>
      </c>
      <c r="S54" s="73" t="e">
        <f t="shared" ca="1" si="97"/>
        <v>#NAME?</v>
      </c>
      <c r="T54" s="73" t="e">
        <f t="shared" ca="1" si="97"/>
        <v>#NAME?</v>
      </c>
      <c r="U54" s="73" t="e">
        <f t="shared" ca="1" si="97"/>
        <v>#NAME?</v>
      </c>
      <c r="V54" s="73" t="e">
        <f t="shared" ca="1" si="97"/>
        <v>#NAME?</v>
      </c>
      <c r="W54" s="80" t="e">
        <f t="shared" ca="1" si="97"/>
        <v>#NAME?</v>
      </c>
      <c r="X54" s="81" t="e">
        <f t="shared" ca="1" si="97"/>
        <v>#NAME?</v>
      </c>
      <c r="Y54" s="51" t="e">
        <f ca="1">IF(Y53=52,1,Y53+1)</f>
        <v>#NAME?</v>
      </c>
      <c r="Z54" s="72" t="e">
        <f t="shared" ref="Z54:AF54" ca="1" si="98">Z53+7</f>
        <v>#NAME?</v>
      </c>
      <c r="AA54" s="73" t="e">
        <f t="shared" ca="1" si="98"/>
        <v>#NAME?</v>
      </c>
      <c r="AB54" s="73" t="e">
        <f t="shared" ca="1" si="98"/>
        <v>#NAME?</v>
      </c>
      <c r="AC54" s="73" t="e">
        <f t="shared" ca="1" si="98"/>
        <v>#NAME?</v>
      </c>
      <c r="AD54" s="73" t="e">
        <f t="shared" ca="1" si="98"/>
        <v>#NAME?</v>
      </c>
      <c r="AE54" s="92" t="e">
        <f t="shared" ca="1" si="98"/>
        <v>#NAME?</v>
      </c>
      <c r="AF54" s="93" t="e">
        <f t="shared" ca="1" si="98"/>
        <v>#NAME?</v>
      </c>
      <c r="AG54" s="51" t="e">
        <f ca="1">IF(AG53=52,1,AG53+1)</f>
        <v>#NAME?</v>
      </c>
      <c r="AH54" s="72" t="e">
        <f t="shared" ref="AH54:AN54" ca="1" si="99">AH53+7</f>
        <v>#NAME?</v>
      </c>
      <c r="AI54" s="73" t="e">
        <f t="shared" ca="1" si="99"/>
        <v>#NAME?</v>
      </c>
      <c r="AJ54" s="73" t="e">
        <f t="shared" ca="1" si="99"/>
        <v>#NAME?</v>
      </c>
      <c r="AK54" s="73" t="e">
        <f t="shared" ca="1" si="99"/>
        <v>#NAME?</v>
      </c>
      <c r="AL54" s="73" t="e">
        <f t="shared" ca="1" si="99"/>
        <v>#NAME?</v>
      </c>
      <c r="AM54" s="74" t="e">
        <f t="shared" ca="1" si="99"/>
        <v>#NAME?</v>
      </c>
      <c r="AN54" s="75" t="e">
        <f t="shared" ca="1" si="99"/>
        <v>#NAME?</v>
      </c>
      <c r="AO54" s="51" t="e">
        <f ca="1">IF(AO53=52,1,AO53+1)</f>
        <v>#NAME?</v>
      </c>
      <c r="AP54" s="72" t="e">
        <f t="shared" ref="AP54:AV54" ca="1" si="100">AP53+7</f>
        <v>#NAME?</v>
      </c>
      <c r="AQ54" s="73" t="e">
        <f t="shared" ca="1" si="100"/>
        <v>#NAME?</v>
      </c>
      <c r="AR54" s="73" t="e">
        <f t="shared" ca="1" si="100"/>
        <v>#NAME?</v>
      </c>
      <c r="AS54" s="73" t="e">
        <f t="shared" ca="1" si="100"/>
        <v>#NAME?</v>
      </c>
      <c r="AT54" s="73" t="e">
        <f t="shared" ca="1" si="100"/>
        <v>#NAME?</v>
      </c>
      <c r="AU54" s="76" t="e">
        <f t="shared" ca="1" si="100"/>
        <v>#NAME?</v>
      </c>
      <c r="AV54" s="77" t="e">
        <f t="shared" ca="1" si="100"/>
        <v>#NAME?</v>
      </c>
      <c r="AW54" s="3"/>
      <c r="AX54" s="3"/>
    </row>
    <row r="55" spans="1:50" ht="18.75" customHeight="1">
      <c r="A55" s="3">
        <f t="shared" si="8"/>
        <v>0</v>
      </c>
      <c r="B55" s="38" t="s">
        <v>21</v>
      </c>
      <c r="C55" s="39" t="e">
        <f t="shared" ca="1" si="15"/>
        <v>#NAME?</v>
      </c>
      <c r="D55" s="25"/>
      <c r="E55" s="32"/>
      <c r="F55" s="33"/>
      <c r="G55" s="28"/>
      <c r="H55" s="34"/>
      <c r="I55" s="2"/>
      <c r="J55" s="2"/>
      <c r="K55" s="29">
        <f t="shared" si="9"/>
        <v>1.5</v>
      </c>
      <c r="L55" s="29">
        <f t="shared" si="10"/>
        <v>1.875</v>
      </c>
      <c r="M55" s="29">
        <f t="shared" si="11"/>
        <v>1.625</v>
      </c>
      <c r="N55" s="30">
        <f t="shared" si="12"/>
        <v>5</v>
      </c>
      <c r="O55" s="31">
        <f t="shared" si="16"/>
        <v>15</v>
      </c>
      <c r="P55" s="82">
        <f t="shared" si="14"/>
        <v>11</v>
      </c>
      <c r="Q55" s="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3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3"/>
      <c r="AX55" s="3"/>
    </row>
    <row r="56" spans="1:50" ht="18.75" customHeight="1">
      <c r="A56" s="3">
        <f t="shared" si="8"/>
        <v>0</v>
      </c>
      <c r="B56" s="23" t="s">
        <v>21</v>
      </c>
      <c r="C56" s="24" t="e">
        <f t="shared" ca="1" si="15"/>
        <v>#NAME?</v>
      </c>
      <c r="D56" s="25"/>
      <c r="E56" s="32"/>
      <c r="F56" s="33"/>
      <c r="G56" s="28"/>
      <c r="H56" s="34"/>
      <c r="I56" s="2"/>
      <c r="J56" s="2"/>
      <c r="K56" s="29">
        <f t="shared" si="9"/>
        <v>1.5</v>
      </c>
      <c r="L56" s="29">
        <f t="shared" si="10"/>
        <v>1.875</v>
      </c>
      <c r="M56" s="29">
        <f t="shared" si="11"/>
        <v>1.25</v>
      </c>
      <c r="N56" s="30">
        <f t="shared" si="12"/>
        <v>5</v>
      </c>
      <c r="O56" s="31">
        <f t="shared" si="16"/>
        <v>15</v>
      </c>
      <c r="P56" s="82">
        <f t="shared" si="14"/>
        <v>14</v>
      </c>
      <c r="Q56" s="5"/>
      <c r="AW56" s="5"/>
      <c r="AX56" s="5"/>
    </row>
    <row r="57" spans="1:50" ht="18.75" customHeight="1">
      <c r="A57" s="3">
        <f t="shared" si="8"/>
        <v>0</v>
      </c>
      <c r="B57" s="23" t="s">
        <v>21</v>
      </c>
      <c r="C57" s="24" t="e">
        <f t="shared" ca="1" si="15"/>
        <v>#NAME?</v>
      </c>
      <c r="D57" s="25"/>
      <c r="E57" s="32"/>
      <c r="F57" s="33"/>
      <c r="G57" s="28"/>
      <c r="H57" s="34"/>
      <c r="I57" s="2"/>
      <c r="J57" s="2"/>
      <c r="K57" s="29">
        <f t="shared" si="9"/>
        <v>1.3</v>
      </c>
      <c r="L57" s="29">
        <f t="shared" si="10"/>
        <v>1.625</v>
      </c>
      <c r="M57" s="29">
        <f t="shared" si="11"/>
        <v>1.125</v>
      </c>
      <c r="N57" s="30">
        <f t="shared" si="12"/>
        <v>5</v>
      </c>
      <c r="O57" s="31">
        <f t="shared" si="16"/>
        <v>17</v>
      </c>
      <c r="P57" s="82">
        <f t="shared" si="14"/>
        <v>15</v>
      </c>
      <c r="Q57" s="5"/>
      <c r="AW57" s="5"/>
      <c r="AX57" s="5"/>
    </row>
    <row r="58" spans="1:50" ht="18.75" customHeight="1">
      <c r="A58" s="3">
        <f t="shared" si="8"/>
        <v>0</v>
      </c>
      <c r="B58" s="23" t="s">
        <v>21</v>
      </c>
      <c r="C58" s="24" t="e">
        <f t="shared" ca="1" si="15"/>
        <v>#NAME?</v>
      </c>
      <c r="D58" s="25"/>
      <c r="E58" s="32"/>
      <c r="F58" s="33"/>
      <c r="G58" s="28"/>
      <c r="H58" s="34"/>
      <c r="I58" s="2"/>
      <c r="J58" s="2"/>
      <c r="K58" s="29">
        <f t="shared" si="9"/>
        <v>1</v>
      </c>
      <c r="L58" s="29">
        <f t="shared" si="10"/>
        <v>1.25</v>
      </c>
      <c r="M58" s="29">
        <f t="shared" si="11"/>
        <v>0.875</v>
      </c>
      <c r="N58" s="30">
        <f t="shared" si="12"/>
        <v>5</v>
      </c>
      <c r="O58" s="31">
        <f t="shared" si="16"/>
        <v>20</v>
      </c>
      <c r="P58" s="82">
        <f t="shared" si="14"/>
        <v>17</v>
      </c>
      <c r="Q58" s="5"/>
      <c r="AW58" s="5"/>
      <c r="AX58" s="5"/>
    </row>
    <row r="59" spans="1:50" ht="18.75" customHeight="1">
      <c r="A59" s="3">
        <f t="shared" si="8"/>
        <v>0</v>
      </c>
      <c r="B59" s="23" t="s">
        <v>21</v>
      </c>
      <c r="C59" s="24" t="e">
        <f t="shared" ca="1" si="15"/>
        <v>#NAME?</v>
      </c>
      <c r="D59" s="25"/>
      <c r="E59" s="32"/>
      <c r="F59" s="33"/>
      <c r="G59" s="28"/>
      <c r="H59" s="34"/>
      <c r="I59" s="2"/>
      <c r="J59" s="2"/>
      <c r="K59" s="29">
        <f t="shared" si="9"/>
        <v>0.9</v>
      </c>
      <c r="L59" s="29">
        <f t="shared" si="10"/>
        <v>1.125</v>
      </c>
      <c r="M59" s="29">
        <f t="shared" si="11"/>
        <v>0.5</v>
      </c>
      <c r="N59" s="30">
        <f t="shared" si="12"/>
        <v>5</v>
      </c>
      <c r="O59" s="31">
        <f t="shared" si="16"/>
        <v>21</v>
      </c>
      <c r="P59" s="82">
        <f t="shared" si="14"/>
        <v>20</v>
      </c>
      <c r="Q59" s="5"/>
      <c r="AW59" s="5"/>
      <c r="AX59" s="5"/>
    </row>
    <row r="60" spans="1:50" ht="18.75" customHeight="1">
      <c r="A60" s="3">
        <f t="shared" si="8"/>
        <v>0</v>
      </c>
      <c r="B60" s="23" t="s">
        <v>21</v>
      </c>
      <c r="C60" s="24" t="e">
        <f t="shared" ca="1" si="15"/>
        <v>#NAME?</v>
      </c>
      <c r="D60" s="25"/>
      <c r="E60" s="32"/>
      <c r="F60" s="33"/>
      <c r="G60" s="28"/>
      <c r="H60" s="34"/>
      <c r="I60" s="2"/>
      <c r="J60" s="2"/>
      <c r="K60" s="29">
        <f t="shared" si="9"/>
        <v>0.7</v>
      </c>
      <c r="L60" s="29">
        <f t="shared" si="10"/>
        <v>0.875</v>
      </c>
      <c r="M60" s="29">
        <f t="shared" si="11"/>
        <v>0</v>
      </c>
      <c r="N60" s="30">
        <f t="shared" si="12"/>
        <v>5</v>
      </c>
      <c r="O60" s="31">
        <f t="shared" si="16"/>
        <v>23</v>
      </c>
      <c r="P60" s="82">
        <f t="shared" si="14"/>
        <v>24</v>
      </c>
      <c r="Q60" s="5"/>
      <c r="AW60" s="5"/>
      <c r="AX60" s="5"/>
    </row>
    <row r="61" spans="1:50" ht="18.75" customHeight="1">
      <c r="A61" s="3">
        <f t="shared" si="8"/>
        <v>0</v>
      </c>
      <c r="B61" s="23" t="s">
        <v>21</v>
      </c>
      <c r="C61" s="24" t="e">
        <f t="shared" ca="1" si="15"/>
        <v>#NAME?</v>
      </c>
      <c r="D61" s="25"/>
      <c r="E61" s="32"/>
      <c r="F61" s="33"/>
      <c r="G61" s="28"/>
      <c r="H61" s="34"/>
      <c r="I61" s="2"/>
      <c r="J61" s="2"/>
      <c r="K61" s="29">
        <f t="shared" si="9"/>
        <v>0.4</v>
      </c>
      <c r="L61" s="29">
        <f t="shared" si="10"/>
        <v>0.5</v>
      </c>
      <c r="M61" s="29">
        <f t="shared" si="11"/>
        <v>0</v>
      </c>
      <c r="N61" s="30">
        <f t="shared" si="12"/>
        <v>5</v>
      </c>
      <c r="O61" s="31">
        <f t="shared" si="16"/>
        <v>26</v>
      </c>
      <c r="P61" s="82">
        <f t="shared" si="14"/>
        <v>24</v>
      </c>
      <c r="Q61" s="5"/>
      <c r="AW61" s="5"/>
      <c r="AX61" s="5"/>
    </row>
    <row r="62" spans="1:50" ht="18.75" customHeight="1">
      <c r="A62" s="3">
        <f t="shared" si="8"/>
        <v>0</v>
      </c>
      <c r="B62" s="38" t="s">
        <v>21</v>
      </c>
      <c r="C62" s="39" t="e">
        <f t="shared" ca="1" si="15"/>
        <v>#NAME?</v>
      </c>
      <c r="D62" s="25"/>
      <c r="E62" s="32"/>
      <c r="F62" s="33"/>
      <c r="G62" s="28"/>
      <c r="H62" s="34"/>
      <c r="I62" s="2"/>
      <c r="J62" s="2"/>
      <c r="K62" s="29">
        <f t="shared" si="9"/>
        <v>0</v>
      </c>
      <c r="L62" s="29">
        <f t="shared" si="10"/>
        <v>0</v>
      </c>
      <c r="M62" s="29">
        <f t="shared" si="11"/>
        <v>0</v>
      </c>
      <c r="N62" s="30">
        <f t="shared" si="12"/>
        <v>5</v>
      </c>
      <c r="O62" s="31">
        <f t="shared" si="16"/>
        <v>30</v>
      </c>
      <c r="P62" s="82">
        <f t="shared" si="14"/>
        <v>24</v>
      </c>
      <c r="Q62" s="5"/>
      <c r="AW62" s="5"/>
      <c r="AX62" s="5"/>
    </row>
    <row r="63" spans="1:50" ht="18.75" customHeight="1">
      <c r="A63" s="3">
        <f t="shared" si="8"/>
        <v>0</v>
      </c>
      <c r="B63" s="23" t="s">
        <v>21</v>
      </c>
      <c r="C63" s="24" t="e">
        <f t="shared" ca="1" si="15"/>
        <v>#NAME?</v>
      </c>
      <c r="D63" s="25"/>
      <c r="E63" s="32"/>
      <c r="F63" s="33"/>
      <c r="G63" s="28"/>
      <c r="H63" s="34"/>
      <c r="I63" s="2"/>
      <c r="J63" s="2"/>
      <c r="K63" s="29">
        <f t="shared" si="9"/>
        <v>0</v>
      </c>
      <c r="L63" s="29">
        <f t="shared" si="10"/>
        <v>0</v>
      </c>
      <c r="M63" s="29">
        <f t="shared" si="11"/>
        <v>0</v>
      </c>
      <c r="N63" s="30">
        <f t="shared" si="12"/>
        <v>5</v>
      </c>
      <c r="O63" s="31">
        <f t="shared" si="16"/>
        <v>30</v>
      </c>
      <c r="P63" s="82">
        <f t="shared" si="14"/>
        <v>24</v>
      </c>
      <c r="Q63" s="5"/>
      <c r="AW63" s="5"/>
      <c r="AX63" s="5"/>
    </row>
    <row r="64" spans="1:50" ht="18.75" customHeight="1">
      <c r="A64" s="3">
        <f t="shared" si="8"/>
        <v>0</v>
      </c>
      <c r="B64" s="23" t="s">
        <v>21</v>
      </c>
      <c r="C64" s="24" t="e">
        <f t="shared" ca="1" si="15"/>
        <v>#NAME?</v>
      </c>
      <c r="D64" s="25"/>
      <c r="E64" s="32"/>
      <c r="F64" s="33"/>
      <c r="G64" s="28"/>
      <c r="H64" s="34"/>
      <c r="I64" s="2"/>
      <c r="J64" s="2"/>
      <c r="K64" s="29">
        <f t="shared" si="9"/>
        <v>0</v>
      </c>
      <c r="L64" s="29">
        <f t="shared" si="10"/>
        <v>0</v>
      </c>
      <c r="M64" s="29">
        <f t="shared" si="11"/>
        <v>0</v>
      </c>
      <c r="N64" s="30">
        <f t="shared" si="12"/>
        <v>5</v>
      </c>
      <c r="O64" s="31">
        <f t="shared" si="16"/>
        <v>30</v>
      </c>
      <c r="P64" s="82">
        <f t="shared" si="14"/>
        <v>24</v>
      </c>
      <c r="Q64" s="5"/>
      <c r="AW64" s="5"/>
      <c r="AX64" s="5"/>
    </row>
    <row r="65" spans="1:50" ht="18.75" customHeight="1">
      <c r="A65" s="3">
        <f t="shared" si="8"/>
        <v>0</v>
      </c>
      <c r="B65" s="23" t="s">
        <v>21</v>
      </c>
      <c r="C65" s="24" t="e">
        <f t="shared" ca="1" si="15"/>
        <v>#NAME?</v>
      </c>
      <c r="D65" s="25"/>
      <c r="E65" s="32"/>
      <c r="F65" s="33"/>
      <c r="G65" s="28"/>
      <c r="H65" s="34"/>
      <c r="I65" s="2"/>
      <c r="J65" s="2"/>
      <c r="K65" s="29">
        <f t="shared" si="9"/>
        <v>0</v>
      </c>
      <c r="L65" s="29">
        <f t="shared" si="10"/>
        <v>0</v>
      </c>
      <c r="M65" s="29">
        <f t="shared" si="11"/>
        <v>0</v>
      </c>
      <c r="N65" s="30">
        <f t="shared" si="12"/>
        <v>5</v>
      </c>
      <c r="O65" s="31">
        <f t="shared" si="16"/>
        <v>30</v>
      </c>
      <c r="P65" s="82">
        <f t="shared" si="14"/>
        <v>24</v>
      </c>
      <c r="Q65" s="5"/>
      <c r="AW65" s="5"/>
      <c r="AX65" s="5"/>
    </row>
    <row r="66" spans="1:50" ht="18.75" customHeight="1">
      <c r="A66" s="3">
        <f t="shared" si="8"/>
        <v>0</v>
      </c>
      <c r="B66" s="23" t="s">
        <v>21</v>
      </c>
      <c r="C66" s="24" t="e">
        <f t="shared" ca="1" si="15"/>
        <v>#NAME?</v>
      </c>
      <c r="D66" s="25"/>
      <c r="E66" s="32"/>
      <c r="F66" s="33"/>
      <c r="G66" s="28"/>
      <c r="H66" s="34"/>
      <c r="I66" s="2"/>
      <c r="J66" s="2"/>
      <c r="K66" s="29">
        <f t="shared" si="9"/>
        <v>0</v>
      </c>
      <c r="L66" s="29">
        <f t="shared" si="10"/>
        <v>0</v>
      </c>
      <c r="M66" s="29">
        <f t="shared" si="11"/>
        <v>0</v>
      </c>
      <c r="N66" s="30">
        <f t="shared" si="12"/>
        <v>5</v>
      </c>
      <c r="O66" s="31">
        <f t="shared" si="16"/>
        <v>30</v>
      </c>
      <c r="P66" s="82">
        <f t="shared" si="14"/>
        <v>24</v>
      </c>
      <c r="Q66" s="5"/>
      <c r="AW66" s="5"/>
      <c r="AX66" s="5"/>
    </row>
    <row r="67" spans="1:50" ht="18.75" customHeight="1">
      <c r="A67" s="3"/>
      <c r="I67" s="2"/>
      <c r="J67" s="2"/>
      <c r="K67" s="2"/>
      <c r="L67" s="2"/>
      <c r="M67" s="2"/>
      <c r="N67" s="2"/>
      <c r="O67" s="5"/>
      <c r="P67" s="5"/>
      <c r="Q67" s="5"/>
      <c r="AW67" s="5"/>
      <c r="AX67" s="5"/>
    </row>
  </sheetData>
  <mergeCells count="168">
    <mergeCell ref="AA20:AB20"/>
    <mergeCell ref="AA21:AB21"/>
    <mergeCell ref="AC21:AD21"/>
    <mergeCell ref="AE21:AF21"/>
    <mergeCell ref="AI21:AJ21"/>
    <mergeCell ref="R20:T20"/>
    <mergeCell ref="U20:V20"/>
    <mergeCell ref="W20:X20"/>
    <mergeCell ref="Y20:Z20"/>
    <mergeCell ref="AC20:AD20"/>
    <mergeCell ref="AE20:AF20"/>
    <mergeCell ref="R21:T21"/>
    <mergeCell ref="AG18:AH18"/>
    <mergeCell ref="AI18:AJ18"/>
    <mergeCell ref="AK18:AT18"/>
    <mergeCell ref="AU18:AV18"/>
    <mergeCell ref="R18:T18"/>
    <mergeCell ref="U18:V18"/>
    <mergeCell ref="W18:X18"/>
    <mergeCell ref="Y18:Z18"/>
    <mergeCell ref="AA18:AB18"/>
    <mergeCell ref="AC18:AD18"/>
    <mergeCell ref="AE18:AF18"/>
    <mergeCell ref="AK17:AT17"/>
    <mergeCell ref="AU17:AV17"/>
    <mergeCell ref="R17:T17"/>
    <mergeCell ref="U17:V17"/>
    <mergeCell ref="W17:X17"/>
    <mergeCell ref="Y17:Z17"/>
    <mergeCell ref="AA17:AB17"/>
    <mergeCell ref="AC17:AD17"/>
    <mergeCell ref="AE17:AF17"/>
    <mergeCell ref="R16:T16"/>
    <mergeCell ref="U16:V16"/>
    <mergeCell ref="W16:X16"/>
    <mergeCell ref="Y16:Z16"/>
    <mergeCell ref="AA16:AB16"/>
    <mergeCell ref="AC16:AD16"/>
    <mergeCell ref="AE16:AF16"/>
    <mergeCell ref="AG17:AH17"/>
    <mergeCell ref="AI17:AJ17"/>
    <mergeCell ref="R14:T14"/>
    <mergeCell ref="U14:V14"/>
    <mergeCell ref="W14:X14"/>
    <mergeCell ref="Y14:Z14"/>
    <mergeCell ref="AA14:AB14"/>
    <mergeCell ref="AC14:AD14"/>
    <mergeCell ref="AE14:AF14"/>
    <mergeCell ref="AG15:AH15"/>
    <mergeCell ref="AI15:AJ15"/>
    <mergeCell ref="R15:T15"/>
    <mergeCell ref="U15:V15"/>
    <mergeCell ref="W15:X15"/>
    <mergeCell ref="Y15:Z15"/>
    <mergeCell ref="AA15:AB15"/>
    <mergeCell ref="AC15:AD15"/>
    <mergeCell ref="AE15:AF15"/>
    <mergeCell ref="U10:V10"/>
    <mergeCell ref="W10:X10"/>
    <mergeCell ref="Y10:Z10"/>
    <mergeCell ref="AA10:AB10"/>
    <mergeCell ref="AC10:AD10"/>
    <mergeCell ref="AE10:AF10"/>
    <mergeCell ref="AG14:AH14"/>
    <mergeCell ref="AI14:AJ14"/>
    <mergeCell ref="AK14:AT14"/>
    <mergeCell ref="B8:D8"/>
    <mergeCell ref="B9:D9"/>
    <mergeCell ref="E9:H9"/>
    <mergeCell ref="B10:D10"/>
    <mergeCell ref="E10:H10"/>
    <mergeCell ref="B6:H7"/>
    <mergeCell ref="M6:N6"/>
    <mergeCell ref="R6:AV7"/>
    <mergeCell ref="E8:H8"/>
    <mergeCell ref="U8:V8"/>
    <mergeCell ref="W8:X8"/>
    <mergeCell ref="AK8:AV8"/>
    <mergeCell ref="Y8:Z8"/>
    <mergeCell ref="AA8:AB8"/>
    <mergeCell ref="R9:T9"/>
    <mergeCell ref="U9:V9"/>
    <mergeCell ref="W9:X9"/>
    <mergeCell ref="Y9:Z9"/>
    <mergeCell ref="AA9:AB9"/>
    <mergeCell ref="AG10:AH10"/>
    <mergeCell ref="AI10:AJ10"/>
    <mergeCell ref="AK10:AT10"/>
    <mergeCell ref="AU10:AV10"/>
    <mergeCell ref="R10:T10"/>
    <mergeCell ref="AG20:AH20"/>
    <mergeCell ref="AI20:AJ20"/>
    <mergeCell ref="AK20:AT20"/>
    <mergeCell ref="AU20:AV20"/>
    <mergeCell ref="Z24:AF25"/>
    <mergeCell ref="AH24:AN25"/>
    <mergeCell ref="AP24:AV25"/>
    <mergeCell ref="AC8:AD8"/>
    <mergeCell ref="AE8:AF8"/>
    <mergeCell ref="AC9:AD9"/>
    <mergeCell ref="AE9:AF9"/>
    <mergeCell ref="AG8:AH8"/>
    <mergeCell ref="AI8:AJ8"/>
    <mergeCell ref="AG9:AH9"/>
    <mergeCell ref="AI9:AJ9"/>
    <mergeCell ref="AK9:AT9"/>
    <mergeCell ref="AU9:AV9"/>
    <mergeCell ref="AU14:AV14"/>
    <mergeCell ref="AK15:AT15"/>
    <mergeCell ref="AU15:AV15"/>
    <mergeCell ref="AG16:AH16"/>
    <mergeCell ref="AI16:AJ16"/>
    <mergeCell ref="AK16:AT16"/>
    <mergeCell ref="AU16:AV16"/>
    <mergeCell ref="AG13:AH13"/>
    <mergeCell ref="AI13:AJ13"/>
    <mergeCell ref="AK13:AT13"/>
    <mergeCell ref="AU13:AV13"/>
    <mergeCell ref="R13:T13"/>
    <mergeCell ref="U13:V13"/>
    <mergeCell ref="W13:X13"/>
    <mergeCell ref="Y13:Z13"/>
    <mergeCell ref="AA13:AB13"/>
    <mergeCell ref="AC13:AD13"/>
    <mergeCell ref="AE13:AF13"/>
    <mergeCell ref="AG12:AH12"/>
    <mergeCell ref="AI12:AJ12"/>
    <mergeCell ref="AK12:AT12"/>
    <mergeCell ref="AU12:AV12"/>
    <mergeCell ref="R12:T12"/>
    <mergeCell ref="U12:V12"/>
    <mergeCell ref="W12:X12"/>
    <mergeCell ref="Y12:Z12"/>
    <mergeCell ref="AA12:AB12"/>
    <mergeCell ref="AC12:AD12"/>
    <mergeCell ref="AE12:AF12"/>
    <mergeCell ref="AG11:AH11"/>
    <mergeCell ref="AI11:AJ11"/>
    <mergeCell ref="AK11:AT11"/>
    <mergeCell ref="AU11:AV11"/>
    <mergeCell ref="R11:T11"/>
    <mergeCell ref="U11:V11"/>
    <mergeCell ref="W11:X11"/>
    <mergeCell ref="Y11:Z11"/>
    <mergeCell ref="AA11:AB11"/>
    <mergeCell ref="AC11:AD11"/>
    <mergeCell ref="AE11:AF11"/>
    <mergeCell ref="Z46:AF47"/>
    <mergeCell ref="AH46:AN47"/>
    <mergeCell ref="R24:X25"/>
    <mergeCell ref="R35:X36"/>
    <mergeCell ref="Z35:AF36"/>
    <mergeCell ref="AH35:AN36"/>
    <mergeCell ref="AP35:AV36"/>
    <mergeCell ref="Z45:AA45"/>
    <mergeCell ref="R46:X47"/>
    <mergeCell ref="AP46:AV47"/>
    <mergeCell ref="AG19:AH19"/>
    <mergeCell ref="AI19:AJ19"/>
    <mergeCell ref="AK19:AT19"/>
    <mergeCell ref="AU19:AV19"/>
    <mergeCell ref="R19:T19"/>
    <mergeCell ref="U19:V19"/>
    <mergeCell ref="W19:X19"/>
    <mergeCell ref="Y19:Z19"/>
    <mergeCell ref="AA19:AB19"/>
    <mergeCell ref="AC19:AD19"/>
    <mergeCell ref="AE19:AF19"/>
  </mergeCells>
  <conditionalFormatting sqref="B13:B67">
    <cfRule type="expression" dxfId="93" priority="29">
      <formula>WEEKNUM(TODAY())=C13</formula>
    </cfRule>
  </conditionalFormatting>
  <conditionalFormatting sqref="C13:C67">
    <cfRule type="expression" dxfId="92" priority="28">
      <formula>WEEKNUM(TODAY())=C13</formula>
    </cfRule>
  </conditionalFormatting>
  <conditionalFormatting sqref="D13:D67">
    <cfRule type="expression" dxfId="91" priority="45">
      <formula>AND(WEEKDAY(TODAY(), 2)=$D$11, WEEKNUM(TODAY())=C13)</formula>
    </cfRule>
  </conditionalFormatting>
  <conditionalFormatting sqref="E13:E67">
    <cfRule type="expression" dxfId="90" priority="46">
      <formula>AND(WEEKDAY(TODAY(), 2)=$E$11, WEEKNUM(TODAY())=C13)</formula>
    </cfRule>
  </conditionalFormatting>
  <conditionalFormatting sqref="F13:F67">
    <cfRule type="expression" dxfId="89" priority="47">
      <formula>AND(WEEKDAY(TODAY(), 2)=$F$11, WEEKNUM(TODAY())=C13)</formula>
    </cfRule>
  </conditionalFormatting>
  <conditionalFormatting sqref="G13:G67">
    <cfRule type="expression" dxfId="88" priority="48">
      <formula>AND(WEEKDAY(TODAY(), 2)=$G$11, WEEKNUM(TODAY())=C13)</formula>
    </cfRule>
  </conditionalFormatting>
  <conditionalFormatting sqref="H13:H67">
    <cfRule type="expression" dxfId="87" priority="49">
      <formula>AND(WEEKDAY(TODAY(), 2)=$H$11, WEEKNUM(TODAY())=C13)</formula>
    </cfRule>
  </conditionalFormatting>
  <conditionalFormatting sqref="K13:M67">
    <cfRule type="colorScale" priority="27">
      <colorScale>
        <cfvo type="formula" val="2.2"/>
        <cfvo type="formula" val="2.5"/>
        <cfvo type="formula" val="5"/>
        <color rgb="FFC27BA0"/>
        <color rgb="FF57BB8A"/>
        <color rgb="FFFFFF00"/>
      </colorScale>
    </cfRule>
  </conditionalFormatting>
  <conditionalFormatting sqref="R27:X32">
    <cfRule type="expression" dxfId="86" priority="3">
      <formula>MONTH(R27)&lt;&gt;MONTH($R$29)</formula>
    </cfRule>
    <cfRule type="expression" dxfId="85" priority="30">
      <formula>D13&gt;0</formula>
    </cfRule>
    <cfRule type="expression" dxfId="84" priority="15">
      <formula>AND(D13&gt;0, ISNUMBER(D13))</formula>
    </cfRule>
  </conditionalFormatting>
  <conditionalFormatting sqref="R38:X43">
    <cfRule type="expression" dxfId="83" priority="6">
      <formula>MONTH(R38)&lt;&gt;MONTH($R$39)</formula>
    </cfRule>
    <cfRule type="expression" dxfId="82" priority="34">
      <formula>IF($Q$38=$C$30, D30&gt;1, IF($Q$38=$C$31, D31&gt;1, D29&gt;1))</formula>
    </cfRule>
    <cfRule type="expression" dxfId="81" priority="19">
      <formula>IF($Q$38=$C$30, AND(D30&gt;0, ISNUMBER(D30)), IF($Q$38=$C$31, AND(D31&gt;0, ISNUMBER(D31)), AND(D29&gt;0, ISNUMBER(D29))))</formula>
    </cfRule>
  </conditionalFormatting>
  <conditionalFormatting sqref="R49:X54">
    <cfRule type="expression" dxfId="80" priority="10">
      <formula>MONTH(R49)&lt;&gt;MONTH($R$51)</formula>
    </cfRule>
    <cfRule type="expression" dxfId="79" priority="23">
      <formula>IF($Q$49=$C$48, AND(D48&gt;0, ISNUMBER(D48)), IF($Q$49=$C$49, AND(D49&gt;0, ISNUMBER(D49)), AND(D47&gt;0, ISNUMBER(D47))))</formula>
    </cfRule>
    <cfRule type="expression" dxfId="78" priority="38">
      <formula>IF($Q$49=$C$48, D48&gt;1, IF($Q$49=$C$49, D49&gt;1, D47&gt;1))</formula>
    </cfRule>
  </conditionalFormatting>
  <conditionalFormatting sqref="R9:AH20">
    <cfRule type="expression" dxfId="77" priority="42">
      <formula>MONTH(TODAY()) = MONTH($R9)</formula>
    </cfRule>
  </conditionalFormatting>
  <conditionalFormatting sqref="W9:X20">
    <cfRule type="expression" dxfId="76" priority="1">
      <formula>W9&gt;=AG9</formula>
    </cfRule>
  </conditionalFormatting>
  <conditionalFormatting sqref="Z27:AF32">
    <cfRule type="expression" dxfId="75" priority="2">
      <formula>MONTH(Z27)&lt;&gt;MONTH($Z$29)</formula>
    </cfRule>
    <cfRule type="expression" dxfId="74" priority="31">
      <formula>IF($Y$27=$C$18, D18&gt;1, IF($Y$27=$C$19, D19&gt;1, D17&gt;1))</formula>
    </cfRule>
    <cfRule type="expression" dxfId="73" priority="16">
      <formula>IF($Y$27=$C$18, AND(D18&gt;0, ISNUMBER(D18)), IF($Y$27=$C$19, AND(D19&gt;0, ISNUMBER(D19)), AND(D17&gt;0, ISNUMBER(D17))))</formula>
    </cfRule>
  </conditionalFormatting>
  <conditionalFormatting sqref="Z38:AF43">
    <cfRule type="expression" dxfId="72" priority="35">
      <formula>IF($Y$38=$C$35, D35&gt;1, IF($Y$38=$C$36, D36&gt;1, D34&gt;1))</formula>
    </cfRule>
    <cfRule type="expression" dxfId="71" priority="8">
      <formula>MONTH(Z38)&lt;&gt;MONTH($Z$39)</formula>
    </cfRule>
    <cfRule type="expression" dxfId="70" priority="20">
      <formula>IF($Y$38=$C$35, AND(D35&gt;0, ISNUMBER(D35)), IF($Y$38=$C$36, AND(D36&gt;0, ISNUMBER(D36)), AND(D34&gt;0, ISNUMBER(D34))))</formula>
    </cfRule>
  </conditionalFormatting>
  <conditionalFormatting sqref="Z49:AF54">
    <cfRule type="expression" dxfId="69" priority="11">
      <formula>MONTH(Z49)&lt;&gt;MONTH($Z$51)</formula>
    </cfRule>
    <cfRule type="expression" dxfId="68" priority="24">
      <formula>IF($Y$49=$C$53, AND(D53&gt;0, ISNUMBER(D53)), IF($Y$49=$C$54, AND(D54&gt;0, ISNUMBER(D54)), AND(D52&gt;0, ISNUMBER(D52))))</formula>
    </cfRule>
    <cfRule type="expression" dxfId="67" priority="39">
      <formula>IF($Y$49=$C$53, D53&gt;1, IF($Y$49=$C$54, D54&gt;1, D52&gt;1))</formula>
    </cfRule>
  </conditionalFormatting>
  <conditionalFormatting sqref="AH27:AN32">
    <cfRule type="expression" dxfId="66" priority="4">
      <formula>MONTH(AH27)&lt;&gt;MONTH($AH$29)</formula>
    </cfRule>
    <cfRule type="expression" dxfId="65" priority="32">
      <formula>IF($AG$27=$C$22, D22&gt;1, IF($AG$27=$C$23, D23&gt;1, D21&gt;1))</formula>
    </cfRule>
    <cfRule type="expression" dxfId="64" priority="17">
      <formula>IF($AG$27=$C$22, AND(D22&gt;0, ISNUMBER(D22)), IF($AG$27=$C$23, AND(D23&gt;0, ISNUMBER(D23)), AND(D21&gt;0, ISNUMBER(D21))))</formula>
    </cfRule>
  </conditionalFormatting>
  <conditionalFormatting sqref="AH38:AN43">
    <cfRule type="expression" dxfId="63" priority="36">
      <formula>IF($AG$38=$C$39, D39&gt;1, IF($AG$38=$C$40, D40&gt;1, D38&gt;1))</formula>
    </cfRule>
    <cfRule type="expression" dxfId="62" priority="21">
      <formula>IF($AG$38=$C$39, AND(D39&gt;0, ISNUMBER(D39)), IF($AG$38=$C$40, AND(D40&gt;0, ISNUMBER(D40)), AND(D38&gt;0, ISNUMBER(D38))))</formula>
    </cfRule>
    <cfRule type="expression" dxfId="61" priority="7">
      <formula>MONTH(AH38)&lt;&gt;MONTH($AH$39)</formula>
    </cfRule>
  </conditionalFormatting>
  <conditionalFormatting sqref="AH49:AN54">
    <cfRule type="expression" dxfId="60" priority="40">
      <formula>IF($AG$49=$C$57, D57&gt;1, IF($AG$49=$C$58, D58&gt;1, D56&gt;1))</formula>
    </cfRule>
    <cfRule type="expression" dxfId="59" priority="25">
      <formula>IF($AG$49=$C$57, AND(D57&gt;0, ISNUMBER(D57)), IF($AG$49=$C$58, AND(D58&gt;0, ISNUMBER(D58)), AND(D56&gt;0, ISNUMBER(D56))))</formula>
    </cfRule>
    <cfRule type="expression" dxfId="58" priority="12">
      <formula>MONTH(AH49)&lt;&gt;MONTH($AH$51)</formula>
    </cfRule>
  </conditionalFormatting>
  <conditionalFormatting sqref="AI9:AJ20">
    <cfRule type="cellIs" dxfId="57" priority="43" operator="equal">
      <formula>0</formula>
    </cfRule>
    <cfRule type="colorScale" priority="44">
      <colorScale>
        <cfvo type="formula" val="2.2"/>
        <cfvo type="formula" val="2.5"/>
        <cfvo type="formula" val="5"/>
        <color rgb="FFC27BA0"/>
        <color rgb="FF57BB8A"/>
        <color rgb="FFFFFF00"/>
      </colorScale>
    </cfRule>
  </conditionalFormatting>
  <conditionalFormatting sqref="AP27:AV32">
    <cfRule type="expression" dxfId="56" priority="5">
      <formula>MONTH(AP27)&lt;&gt;MONTH($AP$29)</formula>
    </cfRule>
    <cfRule type="expression" dxfId="55" priority="18">
      <formula>IF($AO$27=$C$26, AND(D26&gt;0, ISNUMBER(D26)), IF($AO$27=$C$27, AND(D27&gt;0, ISNUMBER(D27)), AND(D25&gt;0, ISNUMBER(D25))))</formula>
    </cfRule>
    <cfRule type="expression" dxfId="54" priority="33">
      <formula>IF($AO$27=$C$26, D26&gt;1, IF($AO$27=$C$27, D27&gt;1, D25&gt;1))</formula>
    </cfRule>
  </conditionalFormatting>
  <conditionalFormatting sqref="AP27:AV54 AH27:AN54 Z27:AF54 R27:X54">
    <cfRule type="timePeriod" dxfId="53" priority="14" timePeriod="today">
      <formula>FLOOR(R27,1)=TODAY()</formula>
    </cfRule>
  </conditionalFormatting>
  <conditionalFormatting sqref="AP38:AV43">
    <cfRule type="expression" dxfId="52" priority="22">
      <formula>IF($AO$38=$C$44, AND(D44&gt;0, ISNUMBER(D44)), IF($AO$38=$C$45, AND(D45&gt;0, ISNUMBER(D45)), AND(D43&gt;0, ISNUMBER(D43))))</formula>
    </cfRule>
    <cfRule type="expression" dxfId="51" priority="9">
      <formula>MONTH(AP38)&lt;&gt;MONTH($AP$39)</formula>
    </cfRule>
    <cfRule type="expression" dxfId="50" priority="37">
      <formula>IF($AO$38=$C$44, D44&gt;1, IF($AO$38=$C$45, D45&gt;1, D43&gt;1))</formula>
    </cfRule>
  </conditionalFormatting>
  <conditionalFormatting sqref="AP49:AV54">
    <cfRule type="expression" dxfId="49" priority="26">
      <formula>IF($AO$49=$C$61, AND(D61&gt;0, ISNUMBER(D61)), IF($AO$49=$C$62, AND(D62&gt;0, ISNUMBER(D62)), AND(D60&gt;0, ISNUMBER(D60))))</formula>
    </cfRule>
    <cfRule type="expression" dxfId="48" priority="41">
      <formula>IF($AO$49=$C$61, D61&gt;1, IF($AO$49=$C$62, D62&gt;1, D60&gt;1))</formula>
    </cfRule>
    <cfRule type="expression" dxfId="47" priority="13">
      <formula>MONTH(AP49)&lt;&gt;MONTH($AP$51)</formula>
    </cfRule>
  </conditionalFormatting>
  <dataValidations count="1">
    <dataValidation type="list" allowBlank="1" sqref="E8" xr:uid="{00000000-0002-0000-0100-000000000000}">
      <formula1>"January,February,March,April,May,June,July,August,September,October,November,December"</formula1>
    </dataValidation>
  </dataValidations>
  <printOptions horizontalCentered="1"/>
  <pageMargins left="0.25" right="0.25" top="0.75" bottom="0.75" header="0" footer="0"/>
  <pageSetup fitToHeight="0" pageOrder="overThenDown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X67"/>
  <sheetViews>
    <sheetView showGridLines="0" topLeftCell="A5" workbookViewId="0"/>
  </sheetViews>
  <sheetFormatPr baseColWidth="10" defaultColWidth="12.6328125" defaultRowHeight="15.75" customHeight="1"/>
  <cols>
    <col min="1" max="1" width="3.453125" customWidth="1"/>
    <col min="2" max="8" width="3.36328125" customWidth="1"/>
    <col min="9" max="10" width="3.36328125" hidden="1" customWidth="1"/>
    <col min="11" max="14" width="8" customWidth="1"/>
    <col min="15" max="16" width="3.453125" hidden="1" customWidth="1"/>
    <col min="17" max="17" width="3.453125" customWidth="1"/>
    <col min="18" max="24" width="3.6328125" customWidth="1"/>
    <col min="25" max="25" width="3.7265625" customWidth="1"/>
    <col min="26" max="32" width="3.6328125" customWidth="1"/>
    <col min="33" max="33" width="3.7265625" customWidth="1"/>
    <col min="34" max="40" width="3.6328125" customWidth="1"/>
    <col min="41" max="41" width="3.7265625" customWidth="1"/>
    <col min="42" max="48" width="3.6328125" customWidth="1"/>
    <col min="49" max="49" width="3.453125" hidden="1" customWidth="1"/>
    <col min="50" max="50" width="3.453125" customWidth="1"/>
  </cols>
  <sheetData>
    <row r="1" spans="1:50" ht="18" hidden="1" customHeight="1">
      <c r="A1" s="1" t="e">
        <f ca="1">K9</f>
        <v>#NAME?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5"/>
      <c r="AX1" s="3"/>
    </row>
    <row r="2" spans="1:50" ht="18" hidden="1" customHeight="1">
      <c r="A2" s="3" t="e">
        <f>#REF!</f>
        <v>#REF!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3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5"/>
      <c r="AX2" s="3"/>
    </row>
    <row r="3" spans="1:50" ht="18" hidden="1" customHeight="1">
      <c r="A3" s="3" t="e">
        <f>#REF!</f>
        <v>#REF!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5"/>
      <c r="AX3" s="3"/>
    </row>
    <row r="4" spans="1:50" ht="18" hidden="1" customHeight="1">
      <c r="A4" s="3" t="e">
        <f>#REF!</f>
        <v>#REF!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5"/>
      <c r="AX4" s="3"/>
    </row>
    <row r="5" spans="1:50" ht="18" customHeight="1">
      <c r="A5" s="3" t="e">
        <f>#REF!</f>
        <v>#REF!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3"/>
      <c r="Q5" s="3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5"/>
      <c r="AX5" s="3"/>
    </row>
    <row r="6" spans="1:50" ht="18" customHeight="1">
      <c r="A6" s="3" t="e">
        <f>#REF!</f>
        <v>#REF!</v>
      </c>
      <c r="B6" s="115" t="s">
        <v>0</v>
      </c>
      <c r="C6" s="108"/>
      <c r="D6" s="108"/>
      <c r="E6" s="108"/>
      <c r="F6" s="108"/>
      <c r="G6" s="108"/>
      <c r="H6" s="109"/>
      <c r="I6" s="2"/>
      <c r="J6" s="2"/>
      <c r="K6" s="2"/>
      <c r="L6" s="2"/>
      <c r="M6" s="122" t="s">
        <v>1</v>
      </c>
      <c r="N6" s="120"/>
      <c r="O6" s="3"/>
      <c r="P6" s="5"/>
      <c r="Q6" s="3"/>
      <c r="R6" s="107" t="s">
        <v>2</v>
      </c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9"/>
      <c r="AW6" s="5"/>
      <c r="AX6" s="3"/>
    </row>
    <row r="7" spans="1:50" ht="18" customHeight="1">
      <c r="A7" s="3" t="e">
        <f>#REF!</f>
        <v>#REF!</v>
      </c>
      <c r="B7" s="110"/>
      <c r="C7" s="111"/>
      <c r="D7" s="111"/>
      <c r="E7" s="111"/>
      <c r="F7" s="111"/>
      <c r="G7" s="111"/>
      <c r="H7" s="112"/>
      <c r="I7" s="2"/>
      <c r="J7" s="2"/>
      <c r="K7" s="2"/>
      <c r="L7" s="2"/>
      <c r="M7" s="6" t="s">
        <v>24</v>
      </c>
      <c r="N7" s="7">
        <v>1</v>
      </c>
      <c r="O7" s="82"/>
      <c r="P7" s="5"/>
      <c r="Q7" s="3"/>
      <c r="R7" s="110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2"/>
      <c r="AW7" s="5"/>
      <c r="AX7" s="3"/>
    </row>
    <row r="8" spans="1:50" ht="18" customHeight="1">
      <c r="A8" s="3" t="e">
        <f>#REF!</f>
        <v>#REF!</v>
      </c>
      <c r="B8" s="128" t="s">
        <v>4</v>
      </c>
      <c r="C8" s="101"/>
      <c r="D8" s="101"/>
      <c r="E8" s="123" t="s">
        <v>25</v>
      </c>
      <c r="F8" s="101"/>
      <c r="G8" s="101"/>
      <c r="H8" s="102"/>
      <c r="I8" s="2"/>
      <c r="J8" s="2"/>
      <c r="K8" s="2"/>
      <c r="L8" s="2"/>
      <c r="M8" s="6" t="s">
        <v>5</v>
      </c>
      <c r="N8" s="8" t="s">
        <v>6</v>
      </c>
      <c r="O8" s="82"/>
      <c r="P8" s="5"/>
      <c r="Q8" s="3"/>
      <c r="R8" s="9"/>
      <c r="S8" s="10"/>
      <c r="T8" s="10"/>
      <c r="U8" s="148" t="s">
        <v>7</v>
      </c>
      <c r="V8" s="121"/>
      <c r="W8" s="143" t="s">
        <v>3</v>
      </c>
      <c r="X8" s="121"/>
      <c r="Y8" s="143" t="s">
        <v>8</v>
      </c>
      <c r="Z8" s="120"/>
      <c r="AA8" s="150" t="s">
        <v>9</v>
      </c>
      <c r="AB8" s="121"/>
      <c r="AC8" s="142" t="s">
        <v>10</v>
      </c>
      <c r="AD8" s="121"/>
      <c r="AE8" s="142" t="s">
        <v>11</v>
      </c>
      <c r="AF8" s="120"/>
      <c r="AG8" s="143" t="s">
        <v>26</v>
      </c>
      <c r="AH8" s="121"/>
      <c r="AI8" s="143" t="s">
        <v>27</v>
      </c>
      <c r="AJ8" s="121"/>
      <c r="AK8" s="149" t="s">
        <v>28</v>
      </c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0"/>
      <c r="AW8" s="5"/>
      <c r="AX8" s="3"/>
    </row>
    <row r="9" spans="1:50" ht="18" customHeight="1">
      <c r="A9" s="3" t="e">
        <f>#REF!</f>
        <v>#REF!</v>
      </c>
      <c r="B9" s="128" t="s">
        <v>12</v>
      </c>
      <c r="C9" s="101"/>
      <c r="D9" s="101"/>
      <c r="E9" s="144">
        <v>2026</v>
      </c>
      <c r="F9" s="145"/>
      <c r="G9" s="145"/>
      <c r="H9" s="146"/>
      <c r="I9" s="2"/>
      <c r="J9" s="2"/>
      <c r="K9" s="14" t="e">
        <f ca="1">DATE(E9,B11,1)</f>
        <v>#NAME?</v>
      </c>
      <c r="L9" s="2"/>
      <c r="M9" s="6" t="s">
        <v>13</v>
      </c>
      <c r="N9" s="8" t="s">
        <v>14</v>
      </c>
      <c r="O9" s="82"/>
      <c r="P9" s="5"/>
      <c r="Q9" s="94"/>
      <c r="R9" s="131" t="e">
        <f ca="1">K9</f>
        <v>#NAME?</v>
      </c>
      <c r="S9" s="101"/>
      <c r="T9" s="101"/>
      <c r="U9" s="151" t="e">
        <f t="shared" ref="U9:U20" ca="1" si="0">NETWORKDAYS(R9,R10)-1-AC9-AA9-AE9</f>
        <v>#NAME?</v>
      </c>
      <c r="V9" s="152"/>
      <c r="W9" s="153" t="e">
        <f ca="1">COUNTIF(D14:H17,"&gt;0")
+IF(AND(MONTH(R27)='Copy of 2026'!month_1,ISNUMBER(D13)),D13,0)+IF(AND(MONTH(S27)='Copy of 2026'!month_1,ISNUMBER(E13)),E13,0)+IF(AND(MONTH(T27)='Copy of 2026'!month_1,ISNUMBER(F13)),F13,0)+IF(AND(MONTH(U27)='Copy of 2026'!month_1,ISNUMBER(G13)),G13,0)+IF(AND(MONTH(V27)='Copy of 2026'!month_1,ISNUMBER(H13)),H13,0)
+IF(AND(MONTH(R32)='Copy of 2026'!month_1,ISNUMBER(D18)),D18,0)+IF(AND(MONTH(S32)='Copy of 2026'!month_1,ISNUMBER(E18)),E18,0)+IF(AND(MONTH(T32)='Copy of 2026'!month_1,ISNUMBER(F18)),F18,0)+IF(AND(MONTH(U32)='Copy of 2026'!month_1,ISNUMBER(G18)),G18,0)+IF(AND(MONTH(V32)='Copy of 2026'!month_1,ISNUMBER(H18)),H18,0)</f>
        <v>#NAME?</v>
      </c>
      <c r="X9" s="132"/>
      <c r="Y9" s="126" t="e">
        <f t="shared" ref="Y9:Y20" ca="1" si="1">U9-W9</f>
        <v>#NAME?</v>
      </c>
      <c r="Z9" s="127"/>
      <c r="AA9" s="124" t="e">
        <f ca="1">COUNTIF(D14:H17,"="&amp;TEXT('Copy of 2026'!VacationDay,0))
+IF(AND(MONTH(R27)='Copy of 2026'!month_1, D13='Copy of 2026'!VacationDay),1,0)+IF(AND(MONTH(S27)='Copy of 2026'!month_1, E13='Copy of 2026'!VacationDay),1,0)+IF(AND(MONTH(T27)='Copy of 2026'!month_1, F13='Copy of 2026'!VacationDay),1,0)+IF(AND(MONTH(U27)='Copy of 2026'!month_1, G13='Copy of 2026'!VacationDay),1,0)+IF(AND(MONTH(V27)='Copy of 2026'!month_1, H13='Copy of 2026'!VacationDay),1,0)
+IF(AND(MONTH(R32)='Copy of 2026'!month_1, D18='Copy of 2026'!VacationDay),1,0)+IF(AND(MONTH(S32)='Copy of 2026'!month_1, E18='Copy of 2026'!VacationDay),1,0)+IF(AND(MONTH(T32)='Copy of 2026'!month_1, F18='Copy of 2026'!VacationDay),1,0)+IF(AND(MONTH(U32)='Copy of 2026'!month_1, G18='Copy of 2026'!VacationDay),1,0)+IF(AND(MONTH(V32)='Copy of 2026'!month_1, H18='Copy of 2026'!VacationDay),1,0)</f>
        <v>#NAME?</v>
      </c>
      <c r="AB9" s="125"/>
      <c r="AC9" s="126" t="e">
        <f ca="1">COUNTIF(D14:H17,"="&amp;TEXT('Copy of 2026'!HolidayDay,0))
+IF(AND(MONTH(R27)='Copy of 2026'!month_1, D13='Copy of 2026'!HolidayDay),1,0)+IF(AND(MONTH(S27)='Copy of 2026'!month_1, E13='Copy of 2026'!HolidayDay),1,0)+IF(AND(MONTH(T27)='Copy of 2026'!month_1, F13='Copy of 2026'!HolidayDay),1,0)+IF(AND(MONTH(U27)='Copy of 2026'!month_1, G13='Copy of 2026'!HolidayDay),1,0)+IF(AND(MONTH(V27)='Copy of 2026'!month_1, H13='Copy of 2026'!HolidayDay),1,0)
+IF(AND(MONTH(R32)='Copy of 2026'!month_1, D18='Copy of 2026'!HolidayDay),1,0)+IF(AND(MONTH(S32)='Copy of 2026'!month_1, E18='Copy of 2026'!HolidayDay),1,0)+IF(AND(MONTH(T32)='Copy of 2026'!month_1, F18='Copy of 2026'!HolidayDay),1,0)+IF(AND(MONTH(U32)='Copy of 2026'!month_1, G18='Copy of 2026'!HolidayDay),1,0)+IF(AND(MONTH(V32)='Copy of 2026'!month_1, H18='Copy of 2026'!HolidayDay),1,0)</f>
        <v>#NAME?</v>
      </c>
      <c r="AD9" s="125"/>
      <c r="AE9" s="126" t="e">
        <f ca="1">COUNTIF(D14:H17,"="&amp;TEXT('Copy of 2026'!OnCallOffDay,0))
+IF(AND(MONTH(R27)='Copy of 2026'!month_1, D13='Copy of 2026'!OnCallOffDay),1,0)+IF(AND(MONTH(S27)='Copy of 2026'!month_1, E13='Copy of 2026'!OnCallOffDay),1,0)+IF(AND(MONTH(T27)='Copy of 2026'!month_1, F13='Copy of 2026'!OnCallOffDay),1,0)+IF(AND(MONTH(U27)='Copy of 2026'!month_1, G13='Copy of 2026'!OnCallOffDay),1,0)+IF(AND(MONTH(V27)='Copy of 2026'!month_1, H13='Copy of 2026'!OnCallOffDay),1,0)
+IF(AND(MONTH(R32)='Copy of 2026'!month_1, D18='Copy of 2026'!OnCallOffDay),1,0)+IF(AND(MONTH(S32)='Copy of 2026'!month_1, E18='Copy of 2026'!OnCallOffDay),1,0)+IF(AND(MONTH(T32)='Copy of 2026'!month_1, F18='Copy of 2026'!OnCallOffDay),1,0)+IF(AND(MONTH(U32)='Copy of 2026'!month_1, G18='Copy of 2026'!OnCallOffDay),1,0)+IF(AND(MONTH(V32)='Copy of 2026'!month_1, H18='Copy of 2026'!OnCallOffDay),1,0)</f>
        <v>#NAME?</v>
      </c>
      <c r="AF9" s="127"/>
      <c r="AG9" s="98" t="e">
        <f t="shared" ref="AG9:AG20" ca="1" si="2">ROUNDUP(($E$10*20)*U9/100,0)</f>
        <v>#NAME?</v>
      </c>
      <c r="AH9" s="99"/>
      <c r="AI9" s="134" t="e">
        <f t="shared" ref="AI9:AI20" ca="1" si="3">W9*5/U9</f>
        <v>#NAME?</v>
      </c>
      <c r="AJ9" s="99"/>
      <c r="AK9" s="100" t="str">
        <f ca="1">IFERROR(__xludf.DUMMYFUNCTION("if(AW9="""","""",IFERROR(SPARKLINE(AW9:AX9,{""charttype"",""bar"";""max"",1;""min"",0;""color1"",""#cbe5ed"";""color2"",""#f3f3f3""}),))"),"")</f>
        <v/>
      </c>
      <c r="AL9" s="101"/>
      <c r="AM9" s="101"/>
      <c r="AN9" s="101"/>
      <c r="AO9" s="101"/>
      <c r="AP9" s="101"/>
      <c r="AQ9" s="101"/>
      <c r="AR9" s="101"/>
      <c r="AS9" s="101"/>
      <c r="AT9" s="101"/>
      <c r="AU9" s="98" t="e">
        <f t="shared" ref="AU9:AU20" ca="1" si="4">IF(AG9="","", W9&amp;" / "&amp;AG9)</f>
        <v>#NAME?</v>
      </c>
      <c r="AV9" s="102"/>
      <c r="AW9" s="11" t="e">
        <f t="shared" ref="AW9:AW20" ca="1" si="5">IF(AG9="","",W9/AG9)</f>
        <v>#NAME?</v>
      </c>
      <c r="AX9" s="12" t="e">
        <f t="shared" ref="AX9:AX20" ca="1" si="6">1-AW9</f>
        <v>#NAME?</v>
      </c>
    </row>
    <row r="10" spans="1:50" ht="18" customHeight="1">
      <c r="A10" s="3" t="e">
        <f>#REF!</f>
        <v>#REF!</v>
      </c>
      <c r="B10" s="129" t="s">
        <v>29</v>
      </c>
      <c r="C10" s="130"/>
      <c r="D10" s="130"/>
      <c r="E10" s="147">
        <v>3</v>
      </c>
      <c r="F10" s="111"/>
      <c r="G10" s="111"/>
      <c r="H10" s="112"/>
      <c r="M10" s="6" t="s">
        <v>11</v>
      </c>
      <c r="N10" s="8" t="s">
        <v>15</v>
      </c>
      <c r="O10" s="82"/>
      <c r="P10" s="5"/>
      <c r="Q10" s="94"/>
      <c r="R10" s="103" t="e">
        <f t="shared" ref="R10:R21" ca="1" si="7">EOMONTH(R9,0)+1</f>
        <v>#NAME?</v>
      </c>
      <c r="S10" s="104"/>
      <c r="T10" s="104"/>
      <c r="U10" s="135" t="e">
        <f t="shared" ca="1" si="0"/>
        <v>#NAME?</v>
      </c>
      <c r="V10" s="136"/>
      <c r="W10" s="137" t="e">
        <f ca="1">IF('Copy of 2026'!WW_first_2=C18, COUNTIF(D19:H22,"&gt;0"),IF('Copy of 2026'!WW_first_2=C19, COUNTIF(D20:H23,"&gt;0"), COUNTIF(D18:H21,"&gt;0")))
+ IF('Copy of 2026'!WW_first_2=C18,
IF(AND(MONTH(Z27)='Copy of 2026'!month_2, ISNUMBER(D18)),D18,0)+IF(AND(MONTH(AA27)='Copy of 2026'!month_2, ISNUMBER(E18)),E18,0)+IF(AND(MONTH(AB27)='Copy of 2026'!month_2, ISNUMBER(F18)),F18,0)+IF(AND(MONTH(AC27)='Copy of 2026'!month_2, ISNUMBER(G18)),G18,0)+IF(AND(MONTH(AD27)='Copy of 2026'!month_2, ISNUMBER(H18)),H18,0)
+IF(AND(MONTH(Z32)='Copy of 2026'!month_2, ISNUMBER(D23)),D23,0)+IF(AND(MONTH(AA32)='Copy of 2026'!month_2, ISNUMBER(E23)),E23,0)+IF(AND(MONTH(AB32)='Copy of 2026'!month_2, ISNUMBER(E23)),E23,0)+IF(AND(MONTH(AC32)='Copy of 2026'!month_2, ISNUMBER(G23)),G23,0)+IF(AND(MONTH(AD32)='Copy of 2026'!month_2, ISNUMBER(H23)),H23,0),
IF('Copy of 2026'!WW_first_2=C19, IF(AND(MONTH(Z27)='Copy of 2026'!month_2, ISNUMBER(D19)),D19,0)+IF(AND(MONTH(AA27)='Copy of 2026'!month_2, ISNUMBER(E19)),E19,0)+IF(AND(MONTH(AB27)='Copy of 2026'!month_2, ISNUMBER(F19)),F19,0)+IF(AND(MONTH(AC27)='Copy of 2026'!month_2, ISNUMBER(G19)),G19,0)+IF(AND(MONTH(AD27)='Copy of 2026'!month_2, ISNUMBER(H19)),H19,0)
+IF(AND(MONTH(Z32)='Copy of 2026'!month_2, ISNUMBER(D24)),D24,0)+IF(AND(MONTH(AA32)='Copy of 2026'!month_2, ISNUMBER(E24)),E24,0)+IF(AND(MONTH(AB32)='Copy of 2026'!month_2, ISNUMBER(F24)),F24,0)+IF(AND(MONTH(AC32)='Copy of 2026'!month_2, ISNUMBER(G24)),G24,0)+IF(AND(MONTH(AD32)='Copy of 2026'!month_2, ISNUMBER(H24)),H24,0),
IF(AND(MONTH(Z27)='Copy of 2026'!month_2, ISNUMBER(D17)),D17,0)+IF(AND(MONTH(AA27)='Copy of 2026'!month_2, ISNUMBER(E17)),E17,0)+IF(AND(MONTH(AB27)='Copy of 2026'!month_2, ISNUMBER(F17)),F17,0)+IF(AND(MONTH(AC27)='Copy of 2026'!month_2, ISNUMBER(G17)),G17,0)+IF(AND(MONTH(AD27)='Copy of 2026'!month_2, ISNUMBER(H17)),H17,0)
+IF(AND(MONTH(Z32)='Copy of 2026'!month_2, ISNUMBER(D22)),D22,0)+IF(AND(MONTH(AA32)='Copy of 2026'!month_2, ISNUMBER(E22)),E22,0)+IF(AND(MONTH(AB32)='Copy of 2026'!month_2, ISNUMBER(F22)),F22,0)+IF(AND(MONTH(AC32)='Copy of 2026'!month_2, ISNUMBER(G22)),G22,0)+IF(AND(MONTH(AD32)='Copy of 2026'!month_2, ISNUMBER(H22)),H22,0)))</f>
        <v>#NAME?</v>
      </c>
      <c r="X10" s="99"/>
      <c r="Y10" s="106" t="e">
        <f t="shared" ca="1" si="1"/>
        <v>#NAME?</v>
      </c>
      <c r="Z10" s="102"/>
      <c r="AA10" s="105" t="e">
        <f ca="1">IF('Copy of 2026'!WW_first_2=C18, COUNTIF(D19:H22,"="&amp;TEXT('Copy of 2026'!VacationDay,0)),IF('Copy of 2026'!WW_first_2=C19, COUNTIF(D20:H23,"="&amp;TEXT('Copy of 2026'!VacationDay,0)), COUNTIF(D18:H21,"="&amp;TEXT('Copy of 2026'!VacationDay,0))))
+ IF('Copy of 2026'!WW_first_2=C18,
IF(AND(MONTH(Z27)='Copy of 2026'!month_2, D18='Copy of 2026'!VacationDay),1,0)+IF(AND(MONTH(AA27)='Copy of 2026'!month_2, E18='Copy of 2026'!VacationDay),1,0)+IF(AND(MONTH(AB27)='Copy of 2026'!month_2, F18='Copy of 2026'!VacationDay),1,0)+IF(AND(MONTH(AC27)='Copy of 2026'!month_2, G18='Copy of 2026'!VacationDay),1,0)+IF(AND(MONTH(AD27)='Copy of 2026'!month_2, H18='Copy of 2026'!VacationDay),1,0)
+IF(AND(MONTH(Z32)='Copy of 2026'!month_2, D23='Copy of 2026'!VacationDay),1,0)+IF(AND(MONTH(AA32)='Copy of 2026'!month_2, E23='Copy of 2026'!VacationDay),1,0)+IF(AND(MONTH(AB32)='Copy of 2026'!month_2, E23='Copy of 2026'!VacationDay),1,0)+IF(AND(MONTH(AC32)='Copy of 2026'!month_2, G23='Copy of 2026'!VacationDay),1,0)+IF(AND(MONTH(AD32)='Copy of 2026'!month_2, H23='Copy of 2026'!VacationDay),1,0),
IF('Copy of 2026'!WW_first_2=C19, IF(AND(MONTH(Z27)='Copy of 2026'!month_2, D19='Copy of 2026'!VacationDay),1,0)+IF(AND(MONTH(AA27)='Copy of 2026'!month_2, E19='Copy of 2026'!VacationDay),1,0)+IF(AND(MONTH(AB27)='Copy of 2026'!month_2, F19='Copy of 2026'!VacationDay),1,0)+IF(AND(MONTH(AC27)='Copy of 2026'!month_2, G19='Copy of 2026'!VacationDay),1,0)+IF(AND(MONTH(AD27)='Copy of 2026'!month_2, H19='Copy of 2026'!VacationDay),1,0)
+IF(AND(MONTH(Z32)='Copy of 2026'!month_2, D24='Copy of 2026'!VacationDay),1,0)+IF(AND(MONTH(AA32)='Copy of 2026'!month_2, E24='Copy of 2026'!VacationDay),1,0)+IF(AND(MONTH(AB32)='Copy of 2026'!month_2, F24='Copy of 2026'!VacationDay),1,0)+IF(AND(MONTH(AC32)='Copy of 2026'!month_2, G24='Copy of 2026'!VacationDay),1,0)+IF(AND(MONTH(AD32)='Copy of 2026'!month_2, H24='Copy of 2026'!VacationDay),1,0),
IF(AND(MONTH(Z27)='Copy of 2026'!month_2, D17='Copy of 2026'!VacationDay),1,0)+IF(AND(MONTH(AA27)='Copy of 2026'!month_2, E17='Copy of 2026'!VacationDay),1,0)+IF(AND(MONTH(AB27)='Copy of 2026'!month_2, F17='Copy of 2026'!VacationDay),1,0)+IF(AND(MONTH(AC27)='Copy of 2026'!month_2, G17='Copy of 2026'!VacationDay),1,0)+IF(AND(MONTH(AD27)='Copy of 2026'!month_2, H17='Copy of 2026'!VacationDay),1,0)
+IF(AND(MONTH(Z32)='Copy of 2026'!month_2, D22='Copy of 2026'!VacationDay),1,0)+IF(AND(MONTH(AA32)='Copy of 2026'!month_2, E22='Copy of 2026'!VacationDay),1,0)+IF(AND(MONTH(AB32)='Copy of 2026'!month_2, F22='Copy of 2026'!VacationDay),1,0)+IF(AND(MONTH(AC32)='Copy of 2026'!month_2, G22='Copy of 2026'!VacationDay),1,0)+IF(AND(MONTH(AD32)='Copy of 2026'!month_2, H22='Copy of 2026'!VacationDay),1,0)))</f>
        <v>#NAME?</v>
      </c>
      <c r="AB10" s="101"/>
      <c r="AC10" s="106" t="e">
        <f ca="1">IF('Copy of 2026'!WW_first_2=C18, COUNTIF(D19:H22,"="&amp;TEXT('Copy of 2026'!HolidayDay,0)),IF('Copy of 2026'!WW_first_2=C19, COUNTIF(D20:H23,"="&amp;TEXT('Copy of 2026'!HolidayDay,0)), COUNTIF(D18:H21,"="&amp;TEXT('Copy of 2026'!HolidayDay,0))))
+ IF('Copy of 2026'!WW_first_2=C18,
IF(AND(MONTH(Z27)='Copy of 2026'!month_2, D18='Copy of 2026'!HolidayDay),1,0)+IF(AND(MONTH(AA27)='Copy of 2026'!month_2, E18='Copy of 2026'!HolidayDay),1,0)+IF(AND(MONTH(AB27)='Copy of 2026'!month_2, F18='Copy of 2026'!HolidayDay),1,0)+IF(AND(MONTH(AC27)='Copy of 2026'!month_2, G18='Copy of 2026'!HolidayDay),1,0)+IF(AND(MONTH(AD27)='Copy of 2026'!month_2, H18='Copy of 2026'!HolidayDay),1,0)
+IF(AND(MONTH(Z32)='Copy of 2026'!month_2, D23='Copy of 2026'!HolidayDay),1,0)+IF(AND(MONTH(AA32)='Copy of 2026'!month_2, E23='Copy of 2026'!HolidayDay),1,0)+IF(AND(MONTH(AB32)='Copy of 2026'!month_2, E23='Copy of 2026'!HolidayDay),1,0)+IF(AND(MONTH(AC32)='Copy of 2026'!month_2, G23='Copy of 2026'!HolidayDay),1,0)+IF(AND(MONTH(AD32)='Copy of 2026'!month_2, H23='Copy of 2026'!HolidayDay),1,0),
IF('Copy of 2026'!WW_first_2=C19, IF(AND(MONTH(Z27)='Copy of 2026'!month_2, D19='Copy of 2026'!HolidayDay),1,0)+IF(AND(MONTH(AA27)='Copy of 2026'!month_2, E19='Copy of 2026'!HolidayDay),1,0)+IF(AND(MONTH(AB27)='Copy of 2026'!month_2, F19='Copy of 2026'!HolidayDay),1,0)+IF(AND(MONTH(AC27)='Copy of 2026'!month_2, G19='Copy of 2026'!HolidayDay),1,0)+IF(AND(MONTH(AD27)='Copy of 2026'!month_2, H19='Copy of 2026'!HolidayDay),1,0)
+IF(AND(MONTH(Z32)='Copy of 2026'!month_2, D24='Copy of 2026'!HolidayDay),1,0)+IF(AND(MONTH(AA32)='Copy of 2026'!month_2, E24='Copy of 2026'!HolidayDay),1,0)+IF(AND(MONTH(AB32)='Copy of 2026'!month_2, F24='Copy of 2026'!HolidayDay),1,0)+IF(AND(MONTH(AC32)='Copy of 2026'!month_2, G24='Copy of 2026'!HolidayDay),1,0)+IF(AND(MONTH(AD32)='Copy of 2026'!month_2, H24='Copy of 2026'!HolidayDay),1,0),
IF(AND(MONTH(Z27)='Copy of 2026'!month_2, D17='Copy of 2026'!HolidayDay),1,0)+IF(AND(MONTH(AA27)='Copy of 2026'!month_2, E17='Copy of 2026'!HolidayDay),1,0)+IF(AND(MONTH(AB27)='Copy of 2026'!month_2, F17='Copy of 2026'!HolidayDay),1,0)+IF(AND(MONTH(AC27)='Copy of 2026'!month_2, G17='Copy of 2026'!HolidayDay),1,0)+IF(AND(MONTH(AD27)='Copy of 2026'!month_2, H17='Copy of 2026'!HolidayDay),1,0)
+IF(AND(MONTH(Z32)='Copy of 2026'!month_2, D22='Copy of 2026'!HolidayDay),1,0)+IF(AND(MONTH(AA32)='Copy of 2026'!month_2, E22='Copy of 2026'!HolidayDay),1,0)+IF(AND(MONTH(AB32)='Copy of 2026'!month_2, F22='Copy of 2026'!HolidayDay),1,0)+IF(AND(MONTH(AC32)='Copy of 2026'!month_2, G22='Copy of 2026'!HolidayDay),1,0)+IF(AND(MONTH(AD32)='Copy of 2026'!month_2, H22='Copy of 2026'!HolidayDay),1,0)))</f>
        <v>#NAME?</v>
      </c>
      <c r="AD10" s="101"/>
      <c r="AE10" s="106" t="e">
        <f ca="1">IF('Copy of 2026'!WW_first_2=C18, COUNTIF(D19:H22,"="&amp;TEXT('Copy of 2026'!OnCallOffDay,0)),IF('Copy of 2026'!WW_first_2=C19, COUNTIF(D20:H23,"="&amp;TEXT('Copy of 2026'!OnCallOffDay,0)), COUNTIF(D18:H21,"="&amp;TEXT('Copy of 2026'!OnCallOffDay,0))))
+ IF('Copy of 2026'!WW_first_2=C18,
IF(AND(MONTH(Z27)='Copy of 2026'!month_2, D18='Copy of 2026'!OnCallOffDay),1,0)+IF(AND(MONTH(AA27)='Copy of 2026'!month_2, E18='Copy of 2026'!OnCallOffDay),1,0)+IF(AND(MONTH(AB27)='Copy of 2026'!month_2, F18='Copy of 2026'!OnCallOffDay),1,0)+IF(AND(MONTH(AC27)='Copy of 2026'!month_2, G18='Copy of 2026'!OnCallOffDay),1,0)+IF(AND(MONTH(AD27)='Copy of 2026'!month_2, H18='Copy of 2026'!OnCallOffDay),1,0)
+IF(AND(MONTH(Z32)='Copy of 2026'!month_2, D23='Copy of 2026'!OnCallOffDay),1,0)+IF(AND(MONTH(AA32)='Copy of 2026'!month_2, E23='Copy of 2026'!OnCallOffDay),1,0)+IF(AND(MONTH(AB32)='Copy of 2026'!month_2, E23='Copy of 2026'!OnCallOffDay),1,0)+IF(AND(MONTH(AC32)='Copy of 2026'!month_2, G23='Copy of 2026'!OnCallOffDay),1,0)+IF(AND(MONTH(AD32)='Copy of 2026'!month_2, H23='Copy of 2026'!OnCallOffDay),1,0),
IF('Copy of 2026'!WW_first_2=C19, IF(AND(MONTH(Z27)='Copy of 2026'!month_2, D19='Copy of 2026'!OnCallOffDay),1,0)+IF(AND(MONTH(AA27)='Copy of 2026'!month_2, E19='Copy of 2026'!OnCallOffDay),1,0)+IF(AND(MONTH(AB27)='Copy of 2026'!month_2, F19='Copy of 2026'!OnCallOffDay),1,0)+IF(AND(MONTH(AC27)='Copy of 2026'!month_2, G19='Copy of 2026'!OnCallOffDay),1,0)+IF(AND(MONTH(AD27)='Copy of 2026'!month_2, H19='Copy of 2026'!OnCallOffDay),1,0)
+IF(AND(MONTH(Z32)='Copy of 2026'!month_2, D24='Copy of 2026'!OnCallOffDay),1,0)+IF(AND(MONTH(AA32)='Copy of 2026'!month_2, E24='Copy of 2026'!OnCallOffDay),1,0)+IF(AND(MONTH(AB32)='Copy of 2026'!month_2, F24='Copy of 2026'!OnCallOffDay),1,0)+IF(AND(MONTH(AC32)='Copy of 2026'!month_2, G24='Copy of 2026'!OnCallOffDay),1,0)+IF(AND(MONTH(AD32)='Copy of 2026'!month_2, H24='Copy of 2026'!OnCallOffDay),1,0),
IF(AND(MONTH(Z27)='Copy of 2026'!month_2, D17='Copy of 2026'!OnCallOffDay),1,0)+IF(AND(MONTH(AA27)='Copy of 2026'!month_2, E17='Copy of 2026'!OnCallOffDay),1,0)+IF(AND(MONTH(AB27)='Copy of 2026'!month_2, F17='Copy of 2026'!OnCallOffDay),1,0)+IF(AND(MONTH(AC27)='Copy of 2026'!month_2, G17='Copy of 2026'!OnCallOffDay),1,0)+IF(AND(MONTH(AD27)='Copy of 2026'!month_2, H17='Copy of 2026'!OnCallOffDay),1,0)
+IF(AND(MONTH(Z32)='Copy of 2026'!month_2, D22='Copy of 2026'!OnCallOffDay),1,0)+IF(AND(MONTH(AA32)='Copy of 2026'!month_2, E22='Copy of 2026'!OnCallOffDay),1,0)+IF(AND(MONTH(AB32)='Copy of 2026'!month_2, F22='Copy of 2026'!OnCallOffDay),1,0)+IF(AND(MONTH(AC32)='Copy of 2026'!month_2, G22='Copy of 2026'!OnCallOffDay),1,0)+IF(AND(MONTH(AD32)='Copy of 2026'!month_2, H22='Copy of 2026'!OnCallOffDay),1,0)))</f>
        <v>#NAME?</v>
      </c>
      <c r="AF10" s="102"/>
      <c r="AG10" s="98" t="e">
        <f t="shared" ca="1" si="2"/>
        <v>#NAME?</v>
      </c>
      <c r="AH10" s="99"/>
      <c r="AI10" s="134" t="e">
        <f t="shared" ca="1" si="3"/>
        <v>#NAME?</v>
      </c>
      <c r="AJ10" s="99"/>
      <c r="AK10" s="100" t="str">
        <f ca="1">IFERROR(__xludf.DUMMYFUNCTION("if(AW10="""","""",IFERROR(SPARKLINE(AW10:AX10,{""charttype"",""bar"";""max"",1;""min"",0;""color1"",""#cbe5ed"";""color2"",""#f3f3f3""}),))"),"")</f>
        <v/>
      </c>
      <c r="AL10" s="101"/>
      <c r="AM10" s="101"/>
      <c r="AN10" s="101"/>
      <c r="AO10" s="101"/>
      <c r="AP10" s="101"/>
      <c r="AQ10" s="101"/>
      <c r="AR10" s="101"/>
      <c r="AS10" s="101"/>
      <c r="AT10" s="101"/>
      <c r="AU10" s="98" t="e">
        <f t="shared" ca="1" si="4"/>
        <v>#NAME?</v>
      </c>
      <c r="AV10" s="102"/>
      <c r="AW10" s="11" t="e">
        <f t="shared" ca="1" si="5"/>
        <v>#NAME?</v>
      </c>
      <c r="AX10" s="12" t="e">
        <f t="shared" ca="1" si="6"/>
        <v>#NAME?</v>
      </c>
    </row>
    <row r="11" spans="1:50" ht="18" customHeight="1">
      <c r="A11" s="3" t="e">
        <f>#REF!</f>
        <v>#REF!</v>
      </c>
      <c r="B11" s="13" t="e">
        <f ca="1">_xludf.IFS(E8="January",1,E8="February",2,E8="March",3,E8="April",4,E8="May",5,E8="June",6,E8="July",7,E8="August",8,E8="September",9,E8="October",10,E8="November",11,E8="December",12)</f>
        <v>#NAME?</v>
      </c>
      <c r="C11" s="95"/>
      <c r="D11" s="13">
        <v>1</v>
      </c>
      <c r="E11" s="3">
        <v>2</v>
      </c>
      <c r="F11" s="3">
        <v>3</v>
      </c>
      <c r="G11" s="3">
        <v>4</v>
      </c>
      <c r="H11" s="3">
        <v>5</v>
      </c>
      <c r="N11" s="16"/>
      <c r="O11" s="3"/>
      <c r="P11" s="3"/>
      <c r="Q11" s="94"/>
      <c r="R11" s="103" t="e">
        <f t="shared" ca="1" si="7"/>
        <v>#NAME?</v>
      </c>
      <c r="S11" s="104"/>
      <c r="T11" s="104"/>
      <c r="U11" s="135" t="e">
        <f t="shared" ca="1" si="0"/>
        <v>#NAME?</v>
      </c>
      <c r="V11" s="136"/>
      <c r="W11" s="137" t="e">
        <f ca="1">IF('Copy of 2026'!WW_first_3=C22, COUNTIF(D23:H26,"&gt;0"), IF('Copy of 2026'!WW_first_3=C23, COUNTIF(D24:H27,"&gt;0"), COUNTIF(D22:H25,"&gt;0")))
+ IF('Copy of 2026'!WW_first_3=C22,
IF(AND(MONTH(AH27)='Copy of 2026'!month_3, ISNUMBER(D22)),D22,0)+IF(AND(MONTH(AI27)='Copy of 2026'!month_3, ISNUMBER(E22)),E22,0)+IF(AND(MONTH(AJ27)='Copy of 2026'!month_3, ISNUMBER(F22)),F22,0)+IF(AND(MONTH(AK27)='Copy of 2026'!month_3, ISNUMBER(G22)),G22,0)+IF(AND(MONTH(AL27)='Copy of 2026'!month_3, ISNUMBER(H22)),H22,0)
+IF(AND(MONTH(AH32)='Copy of 2026'!month_3, ISNUMBER(D27)),D27,0)+IF(AND(MONTH(AI32)='Copy of 2026'!month_3, ISNUMBER(E27)),E27,0)+IF(AND(MONTH(AJ32)='Copy of 2026'!month_3, ISNUMBER(F27)),F27,0)+IF(AND(MONTH(AK32)='Copy of 2026'!month_3, ISNUMBER(G27)),G27,0)+IF(AND(MONTH(AL32)='Copy of 2026'!month_3, ISNUMBER(H27)),H27,0),
IF('Copy of 2026'!WW_first_3=C23,
IF(AND(MONTH(AH27)='Copy of 2026'!month_3, ISNUMBER(D23)),D23,0)+IF(AND(MONTH(AI27)='Copy of 2026'!month_3, ISNUMBER(E23)),E23,0)+IF(AND(MONTH(AJ27)='Copy of 2026'!month_3, ISNUMBER(F23)),F23,0)+IF(AND(MONTH(AK27)='Copy of 2026'!month_3, ISNUMBER(G23)),G23,0)+IF(AND(MONTH(AL27)='Copy of 2026'!month_3, ISNUMBER(H23)),H23,0)
+IF(AND(MONTH(AH32)='Copy of 2026'!month_3, ISNUMBER(D28)),D28,0)+IF(AND(MONTH(AI32)='Copy of 2026'!month_3, ISNUMBER(E28)),E28,0)+IF(AND(MONTH(AJ32)='Copy of 2026'!month_3, ISNUMBER(F28)),F28,0)+IF(AND(MONTH(AK32)='Copy of 2026'!month_3, ISNUMBER(G28)),G28,0)+IF(AND(MONTH(AL32)='Copy of 2026'!month_3, ISNUMBER(H28)),H28,0),
IF(AND(MONTH(AH27)='Copy of 2026'!month_3, ISNUMBER(D21)),D21,0)+IF(AND(MONTH(AI27)='Copy of 2026'!month_3, ISNUMBER(E21)),E21,0)+IF(AND(MONTH(AJ27)='Copy of 2026'!month_3, ISNUMBER(F21)),F21,0)+IF(AND(MONTH(AK27)='Copy of 2026'!month_3, ISNUMBER(G21)),G21,0)+IF(AND(MONTH(AL27)='Copy of 2026'!month_3, ISNUMBER(H21)),H21,0)
+IF(AND(MONTH(AH32)='Copy of 2026'!month_3, ISNUMBER(D26)),D26,0)+IF(AND(MONTH(AI32)='Copy of 2026'!month_3, ISNUMBER(E26)),E26,0)+IF(AND(MONTH(AJ32)='Copy of 2026'!month_3, ISNUMBER(F26)),F26,0)+IF(AND(MONTH(AK32)='Copy of 2026'!month_3, ISNUMBER(G26)),G26,0)+IF(AND(MONTH(AL32)='Copy of 2026'!month_3, ISNUMBER(H26)),H26,0)))</f>
        <v>#NAME?</v>
      </c>
      <c r="X11" s="99"/>
      <c r="Y11" s="106" t="e">
        <f t="shared" ca="1" si="1"/>
        <v>#NAME?</v>
      </c>
      <c r="Z11" s="102"/>
      <c r="AA11" s="105" t="e">
        <f ca="1">IF('Copy of 2026'!WW_first_3=C22, COUNTIF(D23:H26,"="&amp;TEXT('Copy of 2026'!VacationDay,0)), IF('Copy of 2026'!WW_first_3=C23, COUNTIF(D24:H27,"="&amp;TEXT('Copy of 2026'!VacationDay,0)), COUNTIF(D22:H25,"="&amp;TEXT('Copy of 2026'!VacationDay,0))))
+ IF('Copy of 2026'!WW_first_3=C22,
IF(AND(MONTH(AH27)='Copy of 2026'!month_3, D22='Copy of 2026'!VacationDay),1,0)+IF(AND(MONTH(AI27)='Copy of 2026'!month_3, E22='Copy of 2026'!VacationDay),1,0)+IF(AND(MONTH(AJ27)='Copy of 2026'!month_3, F22='Copy of 2026'!VacationDay),1,0)+IF(AND(MONTH(AK27)='Copy of 2026'!month_3, G22='Copy of 2026'!VacationDay),1,0)+IF(AND(MONTH(AL27)='Copy of 2026'!month_3, H22='Copy of 2026'!VacationDay),1,0)
+IF(AND(MONTH(AH32)='Copy of 2026'!month_3, D27='Copy of 2026'!VacationDay),1,0)+IF(AND(MONTH(AI32)='Copy of 2026'!month_3, E27='Copy of 2026'!VacationDay),1,0)+IF(AND(MONTH(AJ32)='Copy of 2026'!month_3, F27='Copy of 2026'!VacationDay),1,0)+IF(AND(MONTH(AK32)='Copy of 2026'!month_3, G27='Copy of 2026'!VacationDay),1,0)+IF(AND(MONTH(AL32)='Copy of 2026'!month_3, H27='Copy of 2026'!VacationDay),1,0),
IF('Copy of 2026'!WW_first_3=C23,
IF(AND(MONTH(AH27)='Copy of 2026'!month_3, D23='Copy of 2026'!VacationDay),1,0)+IF(AND(MONTH(AI27)='Copy of 2026'!month_3, E23='Copy of 2026'!VacationDay),1,0)+IF(AND(MONTH(AJ27)='Copy of 2026'!month_3, F23='Copy of 2026'!VacationDay),1,0)+IF(AND(MONTH(AK27)='Copy of 2026'!month_3, G23='Copy of 2026'!VacationDay),1,0)+IF(AND(MONTH(AL27)='Copy of 2026'!month_3, H23='Copy of 2026'!VacationDay),1,0)
+IF(AND(MONTH(AH32)='Copy of 2026'!month_3, D28='Copy of 2026'!VacationDay),1,0)+IF(AND(MONTH(AI32)='Copy of 2026'!month_3, E28='Copy of 2026'!VacationDay),1,0)+IF(AND(MONTH(AJ32)='Copy of 2026'!month_3, F28='Copy of 2026'!VacationDay),1,0)+IF(AND(MONTH(AK32)='Copy of 2026'!month_3, G28='Copy of 2026'!VacationDay),1,0)+IF(AND(MONTH(AL32)='Copy of 2026'!month_3, H28='Copy of 2026'!VacationDay),1,0),
IF(AND(MONTH(AH27)='Copy of 2026'!month_3, D21='Copy of 2026'!VacationDay),1,0)+IF(AND(MONTH(AI27)='Copy of 2026'!month_3, E21='Copy of 2026'!VacationDay),1,0)+IF(AND(MONTH(AJ27)='Copy of 2026'!month_3, F21='Copy of 2026'!VacationDay),1,0)+IF(AND(MONTH(AK27)='Copy of 2026'!month_3, G21='Copy of 2026'!VacationDay),1,0)+IF(AND(MONTH(AL27)='Copy of 2026'!month_3, H21='Copy of 2026'!VacationDay),1,0)
+IF(AND(MONTH(AH32)='Copy of 2026'!month_3, D26='Copy of 2026'!VacationDay),1,0)+IF(AND(MONTH(AI32)='Copy of 2026'!month_3, E26='Copy of 2026'!VacationDay),1,0)+IF(AND(MONTH(AJ32)='Copy of 2026'!month_3, F26='Copy of 2026'!VacationDay),1,0)+IF(AND(MONTH(AK32)='Copy of 2026'!month_3, G26='Copy of 2026'!VacationDay),1,0)+IF(AND(MONTH(AL32)='Copy of 2026'!month_3, H26='Copy of 2026'!VacationDay),1,0)))</f>
        <v>#NAME?</v>
      </c>
      <c r="AB11" s="101"/>
      <c r="AC11" s="106" t="e">
        <f ca="1">IF('Copy of 2026'!WW_first_3=C22, COUNTIF(D23:H26,"="&amp;TEXT('Copy of 2026'!HolidayDay,0)), IF('Copy of 2026'!WW_first_3=C23, COUNTIF(D24:H27,"="&amp;TEXT('Copy of 2026'!HolidayDay,0)), COUNTIF(D22:H25,"="&amp;TEXT('Copy of 2026'!HolidayDay,0))))
+ IF('Copy of 2026'!WW_first_3=C22,
IF(AND(MONTH(AH27)='Copy of 2026'!month_3, D22='Copy of 2026'!HolidayDay),1,0)+IF(AND(MONTH(AI27)='Copy of 2026'!month_3, E22='Copy of 2026'!HolidayDay),1,0)+IF(AND(MONTH(AJ27)='Copy of 2026'!month_3, F22='Copy of 2026'!HolidayDay),1,0)+IF(AND(MONTH(AK27)='Copy of 2026'!month_3, G22='Copy of 2026'!HolidayDay),1,0)+IF(AND(MONTH(AL27)='Copy of 2026'!month_3, H22='Copy of 2026'!HolidayDay),1,0)
+IF(AND(MONTH(AH32)='Copy of 2026'!month_3, D27='Copy of 2026'!HolidayDay),1,0)+IF(AND(MONTH(AI32)='Copy of 2026'!month_3, E27='Copy of 2026'!HolidayDay),1,0)+IF(AND(MONTH(AJ32)='Copy of 2026'!month_3, F27='Copy of 2026'!HolidayDay),1,0)+IF(AND(MONTH(AK32)='Copy of 2026'!month_3, G27='Copy of 2026'!HolidayDay),1,0)+IF(AND(MONTH(AL32)='Copy of 2026'!month_3, H27='Copy of 2026'!HolidayDay),1,0),
IF('Copy of 2026'!WW_first_3=C23,
IF(AND(MONTH(AH27)='Copy of 2026'!month_3, D23='Copy of 2026'!HolidayDay),1,0)+IF(AND(MONTH(AI27)='Copy of 2026'!month_3, E23='Copy of 2026'!HolidayDay),1,0)+IF(AND(MONTH(AJ27)='Copy of 2026'!month_3, F23='Copy of 2026'!HolidayDay),1,0)+IF(AND(MONTH(AK27)='Copy of 2026'!month_3, G23='Copy of 2026'!HolidayDay),1,0)+IF(AND(MONTH(AL27)='Copy of 2026'!month_3, H23='Copy of 2026'!HolidayDay),1,0)
+IF(AND(MONTH(AH32)='Copy of 2026'!month_3, D28='Copy of 2026'!HolidayDay),1,0)+IF(AND(MONTH(AI32)='Copy of 2026'!month_3, E28='Copy of 2026'!HolidayDay),1,0)+IF(AND(MONTH(AJ32)='Copy of 2026'!month_3, F28='Copy of 2026'!HolidayDay),1,0)+IF(AND(MONTH(AK32)='Copy of 2026'!month_3, G28='Copy of 2026'!HolidayDay),1,0)+IF(AND(MONTH(AL32)='Copy of 2026'!month_3, H28='Copy of 2026'!HolidayDay),1,0),
IF(AND(MONTH(AH27)='Copy of 2026'!month_3, D21='Copy of 2026'!HolidayDay),1,0)+IF(AND(MONTH(AI27)='Copy of 2026'!month_3, E21='Copy of 2026'!HolidayDay),1,0)+IF(AND(MONTH(AJ27)='Copy of 2026'!month_3, F21='Copy of 2026'!HolidayDay),1,0)+IF(AND(MONTH(AK27)='Copy of 2026'!month_3, G21='Copy of 2026'!HolidayDay),1,0)+IF(AND(MONTH(AL27)='Copy of 2026'!month_3, H21='Copy of 2026'!HolidayDay),1,0)
+IF(AND(MONTH(AH32)='Copy of 2026'!month_3, D26='Copy of 2026'!HolidayDay),1,0)+IF(AND(MONTH(AI32)='Copy of 2026'!month_3, E26='Copy of 2026'!HolidayDay),1,0)+IF(AND(MONTH(AJ32)='Copy of 2026'!month_3, F26='Copy of 2026'!HolidayDay),1,0)+IF(AND(MONTH(AK32)='Copy of 2026'!month_3, G26='Copy of 2026'!HolidayDay),1,0)+IF(AND(MONTH(AL32)='Copy of 2026'!month_3, H26='Copy of 2026'!HolidayDay),1,0)))</f>
        <v>#NAME?</v>
      </c>
      <c r="AD11" s="101"/>
      <c r="AE11" s="106" t="e">
        <f ca="1">IF('Copy of 2026'!WW_first_3=C22, COUNTIF(D23:H26,"="&amp;TEXT('Copy of 2026'!OnCallOffDay,0)), IF('Copy of 2026'!WW_first_3=C23, COUNTIF(D24:H27,"="&amp;TEXT('Copy of 2026'!OnCallOffDay,0)), COUNTIF(D22:H25,"="&amp;TEXT('Copy of 2026'!OnCallOffDay,0))))
+ IF('Copy of 2026'!WW_first_3=C22,
IF(AND(MONTH(AH27)='Copy of 2026'!month_3, D22='Copy of 2026'!OnCallOffDay),1,0)+IF(AND(MONTH(AI27)='Copy of 2026'!month_3, E22='Copy of 2026'!OnCallOffDay),1,0)+IF(AND(MONTH(AJ27)='Copy of 2026'!month_3, F22='Copy of 2026'!OnCallOffDay),1,0)+IF(AND(MONTH(AK27)='Copy of 2026'!month_3, G22='Copy of 2026'!OnCallOffDay),1,0)+IF(AND(MONTH(AL27)='Copy of 2026'!month_3, H22='Copy of 2026'!OnCallOffDay),1,0)
+IF(AND(MONTH(AH32)='Copy of 2026'!month_3, D27='Copy of 2026'!OnCallOffDay),1,0)+IF(AND(MONTH(AI32)='Copy of 2026'!month_3, E27='Copy of 2026'!OnCallOffDay),1,0)+IF(AND(MONTH(AJ32)='Copy of 2026'!month_3, F27='Copy of 2026'!OnCallOffDay),1,0)+IF(AND(MONTH(AK32)='Copy of 2026'!month_3, G27='Copy of 2026'!OnCallOffDay),1,0)+IF(AND(MONTH(AL32)='Copy of 2026'!month_3, H27='Copy of 2026'!OnCallOffDay),1,0),
IF('Copy of 2026'!WW_first_3=C23,
IF(AND(MONTH(AH27)='Copy of 2026'!month_3, D23='Copy of 2026'!OnCallOffDay),1,0)+IF(AND(MONTH(AI27)='Copy of 2026'!month_3, E23='Copy of 2026'!OnCallOffDay),1,0)+IF(AND(MONTH(AJ27)='Copy of 2026'!month_3, F23='Copy of 2026'!OnCallOffDay),1,0)+IF(AND(MONTH(AK27)='Copy of 2026'!month_3, G23='Copy of 2026'!OnCallOffDay),1,0)+IF(AND(MONTH(AL27)='Copy of 2026'!month_3, H23='Copy of 2026'!OnCallOffDay),1,0)
+IF(AND(MONTH(AH32)='Copy of 2026'!month_3, D28='Copy of 2026'!OnCallOffDay),1,0)+IF(AND(MONTH(AI32)='Copy of 2026'!month_3, E28='Copy of 2026'!OnCallOffDay),1,0)+IF(AND(MONTH(AJ32)='Copy of 2026'!month_3, F28='Copy of 2026'!OnCallOffDay),1,0)+IF(AND(MONTH(AK32)='Copy of 2026'!month_3, G28='Copy of 2026'!OnCallOffDay),1,0)+IF(AND(MONTH(AL32)='Copy of 2026'!month_3, H28='Copy of 2026'!OnCallOffDay),1,0),
IF(AND(MONTH(AH27)='Copy of 2026'!month_3, D21='Copy of 2026'!OnCallOffDay),1,0)+IF(AND(MONTH(AI27)='Copy of 2026'!month_3, E21='Copy of 2026'!OnCallOffDay),1,0)+IF(AND(MONTH(AJ27)='Copy of 2026'!month_3, F21='Copy of 2026'!OnCallOffDay),1,0)+IF(AND(MONTH(AK27)='Copy of 2026'!month_3, G21='Copy of 2026'!OnCallOffDay),1,0)+IF(AND(MONTH(AL27)='Copy of 2026'!month_3, H21='Copy of 2026'!OnCallOffDay),1,0)
+IF(AND(MONTH(AH32)='Copy of 2026'!month_3, D26='Copy of 2026'!OnCallOffDay),1,0)+IF(AND(MONTH(AI32)='Copy of 2026'!month_3, E26='Copy of 2026'!OnCallOffDay),1,0)+IF(AND(MONTH(AJ32)='Copy of 2026'!month_3, F26='Copy of 2026'!OnCallOffDay),1,0)+IF(AND(MONTH(AK32)='Copy of 2026'!month_3, G26='Copy of 2026'!OnCallOffDay),1,0)+IF(AND(MONTH(AL32)='Copy of 2026'!month_3, H26='Copy of 2026'!OnCallOffDay),1,0)))</f>
        <v>#NAME?</v>
      </c>
      <c r="AF11" s="102"/>
      <c r="AG11" s="98" t="e">
        <f t="shared" ca="1" si="2"/>
        <v>#NAME?</v>
      </c>
      <c r="AH11" s="99"/>
      <c r="AI11" s="134" t="e">
        <f t="shared" ca="1" si="3"/>
        <v>#NAME?</v>
      </c>
      <c r="AJ11" s="99"/>
      <c r="AK11" s="100" t="str">
        <f ca="1">IFERROR(__xludf.DUMMYFUNCTION("if(AW11="""","""",IFERROR(SPARKLINE(AW11:AX11,{""charttype"",""bar"";""max"",1;""min"",0;""color1"",""#cbe5ed"";""color2"",""#f3f3f3""}),))"),"")</f>
        <v/>
      </c>
      <c r="AL11" s="101"/>
      <c r="AM11" s="101"/>
      <c r="AN11" s="101"/>
      <c r="AO11" s="101"/>
      <c r="AP11" s="101"/>
      <c r="AQ11" s="101"/>
      <c r="AR11" s="101"/>
      <c r="AS11" s="101"/>
      <c r="AT11" s="101"/>
      <c r="AU11" s="98" t="e">
        <f t="shared" ca="1" si="4"/>
        <v>#NAME?</v>
      </c>
      <c r="AV11" s="102"/>
      <c r="AW11" s="11" t="e">
        <f t="shared" ca="1" si="5"/>
        <v>#NAME?</v>
      </c>
      <c r="AX11" s="12" t="e">
        <f t="shared" ca="1" si="6"/>
        <v>#NAME?</v>
      </c>
    </row>
    <row r="12" spans="1:50" ht="18" customHeight="1">
      <c r="A12" s="3" t="e">
        <f>#REF!</f>
        <v>#REF!</v>
      </c>
      <c r="B12" s="95"/>
      <c r="C12" s="95"/>
      <c r="D12" s="17" t="s">
        <v>16</v>
      </c>
      <c r="E12" s="18" t="s">
        <v>17</v>
      </c>
      <c r="F12" s="19" t="s">
        <v>6</v>
      </c>
      <c r="G12" s="20" t="s">
        <v>18</v>
      </c>
      <c r="H12" s="21" t="s">
        <v>19</v>
      </c>
      <c r="K12" s="96" t="s">
        <v>30</v>
      </c>
      <c r="L12" s="96" t="s">
        <v>31</v>
      </c>
      <c r="M12" s="97" t="s">
        <v>32</v>
      </c>
      <c r="N12" s="22" t="s">
        <v>20</v>
      </c>
      <c r="O12" s="3"/>
      <c r="P12" s="3"/>
      <c r="Q12" s="94"/>
      <c r="R12" s="103" t="e">
        <f t="shared" ca="1" si="7"/>
        <v>#NAME?</v>
      </c>
      <c r="S12" s="104"/>
      <c r="T12" s="104"/>
      <c r="U12" s="135" t="e">
        <f t="shared" ca="1" si="0"/>
        <v>#NAME?</v>
      </c>
      <c r="V12" s="136"/>
      <c r="W12" s="137" t="e">
        <f ca="1">IF('Copy of 2026'!WW_first_4=C26, COUNTIF(D27:H30,"&gt;0"), IF('Copy of 2026'!WW_first_4=C27, COUNTIF(D28:H31,"&gt;0"), COUNTIF(D26:H29,"&gt;0")))
+ IF('Copy of 2026'!WW_first_4=C26,
IF(AND(MONTH(AP27)='Copy of 2026'!month_4, ISNUMBER(D26)),D26,0)+IF(AND(MONTH(AQ27)='Copy of 2026'!month_4, ISNUMBER(E26)),E26,0)+IF(AND(MONTH(AR27)='Copy of 2026'!month_4, ISNUMBER(F26)),F26,0)+IF(AND(MONTH(AS27)='Copy of 2026'!month_4, ISNUMBER(G26)),G26,0)+IF(AND(MONTH(AT27)='Copy of 2026'!month_4, ISNUMBER(H26)),H26,0)
+IF(AND(MONTH(AP32)='Copy of 2026'!month_4, ISNUMBER(D31)),D31,0)+IF(AND(MONTH(AQ32)='Copy of 2026'!month_4, ISNUMBER(E31)),E31,0)+IF(AND(MONTH(AR32)='Copy of 2026'!month_4, ISNUMBER(F31)),F31,0)+IF(AND(MONTH(AS32)='Copy of 2026'!month_4, ISNUMBER(G31)),G31,0)+IF(AND(MONTH(AT32)='Copy of 2026'!month_4, ISNUMBER(H31)),H31,0),
IF('Copy of 2026'!WW_first_4=C27,
IF(AND(MONTH(AP27)='Copy of 2026'!month_4, ISNUMBER(D27)),D27,0)+IF(AND(MONTH(AQ27)='Copy of 2026'!month_4, ISNUMBER(E27)),E27,0)+IF(AND(MONTH(AR27)='Copy of 2026'!month_4, ISNUMBER(F27)),F27,0)+IF(AND(MONTH(AS27)='Copy of 2026'!month_4, ISNUMBER(G27)),G27,0)+IF(AND(MONTH(AT27)='Copy of 2026'!month_4, ISNUMBER(H27)),H27,0)
+IF(AND(MONTH(AP32)='Copy of 2026'!month_4, ISNUMBER(D32)),D32,0)+IF(AND(MONTH(AQ32)='Copy of 2026'!month_4, ISNUMBER(E32)),E32,0)+IF(AND(MONTH(AR32)='Copy of 2026'!month_4, ISNUMBER(F32)),F32,0)+IF(AND(MONTH(AS32)='Copy of 2026'!month_4, ISNUMBER(G32)),G32,0)+IF(AND(MONTH(AT32)='Copy of 2026'!month_4, ISNUMBER(H32)),H32,0),
IF(AND(MONTH(AP27)='Copy of 2026'!month_4, ISNUMBER(D25)),D25,0)+IF(AND(MONTH(AQ27)='Copy of 2026'!month_4, ISNUMBER(E25)),E25,0)+IF(AND(MONTH(AR27)='Copy of 2026'!month_4, ISNUMBER(F25)),F25,0)+IF(AND(MONTH(AS27)='Copy of 2026'!month_4, ISNUMBER(G25)),G25,0)+IF(AND(MONTH(AT27)='Copy of 2026'!month_4, ISNUMBER(H25)),H25,0)
+IF(AND(MONTH(AP32)='Copy of 2026'!month_4, ISNUMBER(D30)),D30,0)+IF(AND(MONTH(AQ32)='Copy of 2026'!month_4, ISNUMBER(E30)),E30,0)+IF(AND(MONTH(AR32)='Copy of 2026'!month_4, ISNUMBER(F30)),F30,0)+IF(AND(MONTH(AS32)='Copy of 2026'!month_4, ISNUMBER(G30)),G30,0)+IF(AND(MONTH(AT32)='Copy of 2026'!month_4, ISNUMBER(H30)),H30,0)))</f>
        <v>#NAME?</v>
      </c>
      <c r="X12" s="99"/>
      <c r="Y12" s="106" t="e">
        <f t="shared" ca="1" si="1"/>
        <v>#NAME?</v>
      </c>
      <c r="Z12" s="102"/>
      <c r="AA12" s="105" t="e">
        <f ca="1">IF('Copy of 2026'!WW_first_4=C26, COUNTIF(D27:H30,"="&amp;TEXT('Copy of 2026'!VacationDay,0)), IF('Copy of 2026'!WW_first_4=C27, COUNTIF(D28:H31,"="&amp;TEXT('Copy of 2026'!VacationDay,0)), COUNTIF(D26:H29,"="&amp;TEXT('Copy of 2026'!VacationDay,0))))
+ IF('Copy of 2026'!WW_first_4=C26,
IF(AND(MONTH(AP27)='Copy of 2026'!month_4, D26='Copy of 2026'!VacationDay),1,0)+IF(AND(MONTH(AQ27)='Copy of 2026'!month_4, E26='Copy of 2026'!VacationDay),1,0)+IF(AND(MONTH(AR27)='Copy of 2026'!month_4, F26='Copy of 2026'!VacationDay),1,0)+IF(AND(MONTH(AS27)='Copy of 2026'!month_4, G26='Copy of 2026'!VacationDay),1,0)+IF(AND(MONTH(AT27)='Copy of 2026'!month_4, H26='Copy of 2026'!VacationDay),1,0)
+IF(AND(MONTH(AP32)='Copy of 2026'!month_4, D31='Copy of 2026'!VacationDay),1,0)+IF(AND(MONTH(AQ32)='Copy of 2026'!month_4, E31='Copy of 2026'!VacationDay),1,0)+IF(AND(MONTH(AR32)='Copy of 2026'!month_4, F31='Copy of 2026'!VacationDay),1,0)+IF(AND(MONTH(AS32)='Copy of 2026'!month_4, G31='Copy of 2026'!VacationDay),1,0)+IF(AND(MONTH(AT32)='Copy of 2026'!month_4, H31='Copy of 2026'!VacationDay),1,0),
IF('Copy of 2026'!WW_first_4=C27,
IF(AND(MONTH(AP27)='Copy of 2026'!month_4, D27='Copy of 2026'!VacationDay),1,0)+IF(AND(MONTH(AQ27)='Copy of 2026'!month_4, E27='Copy of 2026'!VacationDay),1,0)+IF(AND(MONTH(AR27)='Copy of 2026'!month_4, F27='Copy of 2026'!VacationDay),1,0)+IF(AND(MONTH(AS27)='Copy of 2026'!month_4, G27='Copy of 2026'!VacationDay),1,0)+IF(AND(MONTH(AT27)='Copy of 2026'!month_4, H27='Copy of 2026'!VacationDay),1,0)
+IF(AND(MONTH(AP32)='Copy of 2026'!month_4, D32='Copy of 2026'!VacationDay),1,0)+IF(AND(MONTH(AQ32)='Copy of 2026'!month_4, E32='Copy of 2026'!VacationDay),1,0)+IF(AND(MONTH(AR32)='Copy of 2026'!month_4, F32='Copy of 2026'!VacationDay),1,0)+IF(AND(MONTH(AS32)='Copy of 2026'!month_4, G32='Copy of 2026'!VacationDay),1,0)+IF(AND(MONTH(AT32)='Copy of 2026'!month_4, H32='Copy of 2026'!VacationDay),1,0),
IF(AND(MONTH(AP27)='Copy of 2026'!month_4, D25='Copy of 2026'!VacationDay),1,0)+IF(AND(MONTH(AQ27)='Copy of 2026'!month_4, E25='Copy of 2026'!VacationDay),1,0)+IF(AND(MONTH(AR27)='Copy of 2026'!month_4, F25='Copy of 2026'!VacationDay),1,0)+IF(AND(MONTH(AS27)='Copy of 2026'!month_4, G25='Copy of 2026'!VacationDay),1,0)+IF(AND(MONTH(AT27)='Copy of 2026'!month_4, H25='Copy of 2026'!VacationDay),1,0)
+IF(AND(MONTH(AP32)='Copy of 2026'!month_4, D30='Copy of 2026'!VacationDay),1,0)+IF(AND(MONTH(AQ32)='Copy of 2026'!month_4, E30='Copy of 2026'!VacationDay),1,0)+IF(AND(MONTH(AR32)='Copy of 2026'!month_4, F30='Copy of 2026'!VacationDay),1,0)+IF(AND(MONTH(AS32)='Copy of 2026'!month_4, G30='Copy of 2026'!VacationDay),1,0)+IF(AND(MONTH(AT32)='Copy of 2026'!month_4, H30='Copy of 2026'!VacationDay),1,0)))</f>
        <v>#NAME?</v>
      </c>
      <c r="AB12" s="101"/>
      <c r="AC12" s="106" t="e">
        <f ca="1">IF('Copy of 2026'!WW_first_4=C26, COUNTIF(D27:H30,"="&amp;TEXT('Copy of 2026'!HolidayDay,0)), IF('Copy of 2026'!WW_first_4=C27, COUNTIF(D28:H31,"="&amp;TEXT('Copy of 2026'!HolidayDay,0)), COUNTIF(D26:H29,"="&amp;TEXT('Copy of 2026'!HolidayDay,0))))
+ IF('Copy of 2026'!WW_first_4=C26,
IF(AND(MONTH(AP27)='Copy of 2026'!month_4, D26='Copy of 2026'!HolidayDay),1,0)+IF(AND(MONTH(AQ27)='Copy of 2026'!month_4, E26='Copy of 2026'!HolidayDay),1,0)+IF(AND(MONTH(AR27)='Copy of 2026'!month_4, F26='Copy of 2026'!HolidayDay),1,0)+IF(AND(MONTH(AS27)='Copy of 2026'!month_4, G26='Copy of 2026'!HolidayDay),1,0)+IF(AND(MONTH(AT27)='Copy of 2026'!month_4, H26='Copy of 2026'!HolidayDay),1,0)
+IF(AND(MONTH(AP32)='Copy of 2026'!month_4, D31='Copy of 2026'!HolidayDay),1,0)+IF(AND(MONTH(AQ32)='Copy of 2026'!month_4, E31='Copy of 2026'!HolidayDay),1,0)+IF(AND(MONTH(AR32)='Copy of 2026'!month_4, F31='Copy of 2026'!HolidayDay),1,0)+IF(AND(MONTH(AS32)='Copy of 2026'!month_4, G31='Copy of 2026'!HolidayDay),1,0)+IF(AND(MONTH(AT32)='Copy of 2026'!month_4, H31='Copy of 2026'!HolidayDay),1,0),
IF('Copy of 2026'!WW_first_4=C27,
IF(AND(MONTH(AP27)='Copy of 2026'!month_4, D27='Copy of 2026'!HolidayDay),1,0)+IF(AND(MONTH(AQ27)='Copy of 2026'!month_4, E27='Copy of 2026'!HolidayDay),1,0)+IF(AND(MONTH(AR27)='Copy of 2026'!month_4, F27='Copy of 2026'!HolidayDay),1,0)+IF(AND(MONTH(AS27)='Copy of 2026'!month_4, G27='Copy of 2026'!HolidayDay),1,0)+IF(AND(MONTH(AT27)='Copy of 2026'!month_4, H27='Copy of 2026'!HolidayDay),1,0)
+IF(AND(MONTH(AP32)='Copy of 2026'!month_4, D32='Copy of 2026'!HolidayDay),1,0)+IF(AND(MONTH(AQ32)='Copy of 2026'!month_4, E32='Copy of 2026'!HolidayDay),1,0)+IF(AND(MONTH(AR32)='Copy of 2026'!month_4, F32='Copy of 2026'!HolidayDay),1,0)+IF(AND(MONTH(AS32)='Copy of 2026'!month_4, G32='Copy of 2026'!HolidayDay),1,0)+IF(AND(MONTH(AT32)='Copy of 2026'!month_4, H32='Copy of 2026'!HolidayDay),1,0),
IF(AND(MONTH(AP27)='Copy of 2026'!month_4, D25='Copy of 2026'!HolidayDay),1,0)+IF(AND(MONTH(AQ27)='Copy of 2026'!month_4, E25='Copy of 2026'!HolidayDay),1,0)+IF(AND(MONTH(AR27)='Copy of 2026'!month_4, F25='Copy of 2026'!HolidayDay),1,0)+IF(AND(MONTH(AS27)='Copy of 2026'!month_4, G25='Copy of 2026'!HolidayDay),1,0)+IF(AND(MONTH(AT27)='Copy of 2026'!month_4, H25='Copy of 2026'!HolidayDay),1,0)
+IF(AND(MONTH(AP32)='Copy of 2026'!month_4, D30='Copy of 2026'!HolidayDay),1,0)+IF(AND(MONTH(AQ32)='Copy of 2026'!month_4, E30='Copy of 2026'!HolidayDay),1,0)+IF(AND(MONTH(AR32)='Copy of 2026'!month_4, F30='Copy of 2026'!HolidayDay),1,0)+IF(AND(MONTH(AS32)='Copy of 2026'!month_4, G30='Copy of 2026'!HolidayDay),1,0)+IF(AND(MONTH(AT32)='Copy of 2026'!month_4, H30='Copy of 2026'!HolidayDay),1,0)))</f>
        <v>#NAME?</v>
      </c>
      <c r="AD12" s="101"/>
      <c r="AE12" s="106" t="e">
        <f ca="1">IF('Copy of 2026'!WW_first_4=C26, COUNTIF(D27:H30,"="&amp;TEXT('Copy of 2026'!OnCallOffDay,0)), IF('Copy of 2026'!WW_first_4=C27, COUNTIF(D28:H31,"="&amp;TEXT('Copy of 2026'!OnCallOffDay,0)), COUNTIF(D26:H29,"="&amp;TEXT('Copy of 2026'!OnCallOffDay,0))))
+ IF('Copy of 2026'!WW_first_4=C26,
IF(AND(MONTH(AP27)='Copy of 2026'!month_4, D26='Copy of 2026'!OnCallOffDay),1,0)+IF(AND(MONTH(AQ27)='Copy of 2026'!month_4, E26='Copy of 2026'!OnCallOffDay),1,0)+IF(AND(MONTH(AR27)='Copy of 2026'!month_4, F26='Copy of 2026'!OnCallOffDay),1,0)+IF(AND(MONTH(AS27)='Copy of 2026'!month_4, G26='Copy of 2026'!OnCallOffDay),1,0)+IF(AND(MONTH(AT27)='Copy of 2026'!month_4, H26='Copy of 2026'!OnCallOffDay),1,0)
+IF(AND(MONTH(AP32)='Copy of 2026'!month_4, D31='Copy of 2026'!OnCallOffDay),1,0)+IF(AND(MONTH(AQ32)='Copy of 2026'!month_4, E31='Copy of 2026'!OnCallOffDay),1,0)+IF(AND(MONTH(AR32)='Copy of 2026'!month_4, F31='Copy of 2026'!OnCallOffDay),1,0)+IF(AND(MONTH(AS32)='Copy of 2026'!month_4, G31='Copy of 2026'!OnCallOffDay),1,0)+IF(AND(MONTH(AT32)='Copy of 2026'!month_4, H31='Copy of 2026'!OnCallOffDay),1,0),
IF('Copy of 2026'!WW_first_4=C27,
IF(AND(MONTH(AP27)='Copy of 2026'!month_4, D27='Copy of 2026'!OnCallOffDay),1,0)+IF(AND(MONTH(AQ27)='Copy of 2026'!month_4, E27='Copy of 2026'!OnCallOffDay),1,0)+IF(AND(MONTH(AR27)='Copy of 2026'!month_4, F27='Copy of 2026'!OnCallOffDay),1,0)+IF(AND(MONTH(AS27)='Copy of 2026'!month_4, G27='Copy of 2026'!OnCallOffDay),1,0)+IF(AND(MONTH(AT27)='Copy of 2026'!month_4, H27='Copy of 2026'!OnCallOffDay),1,0)
+IF(AND(MONTH(AP32)='Copy of 2026'!month_4, D32='Copy of 2026'!OnCallOffDay),1,0)+IF(AND(MONTH(AQ32)='Copy of 2026'!month_4, E32='Copy of 2026'!OnCallOffDay),1,0)+IF(AND(MONTH(AR32)='Copy of 2026'!month_4, F32='Copy of 2026'!OnCallOffDay),1,0)+IF(AND(MONTH(AS32)='Copy of 2026'!month_4, G32='Copy of 2026'!OnCallOffDay),1,0)+IF(AND(MONTH(AT32)='Copy of 2026'!month_4, H32='Copy of 2026'!OnCallOffDay),1,0),
IF(AND(MONTH(AP27)='Copy of 2026'!month_4, D25='Copy of 2026'!OnCallOffDay),1,0)+IF(AND(MONTH(AQ27)='Copy of 2026'!month_4, E25='Copy of 2026'!OnCallOffDay),1,0)+IF(AND(MONTH(AR27)='Copy of 2026'!month_4, F25='Copy of 2026'!OnCallOffDay),1,0)+IF(AND(MONTH(AS27)='Copy of 2026'!month_4, G25='Copy of 2026'!OnCallOffDay),1,0)+IF(AND(MONTH(AT27)='Copy of 2026'!month_4, H25='Copy of 2026'!OnCallOffDay),1,0)
+IF(AND(MONTH(AP32)='Copy of 2026'!month_4, D30='Copy of 2026'!OnCallOffDay),1,0)+IF(AND(MONTH(AQ32)='Copy of 2026'!month_4, E30='Copy of 2026'!OnCallOffDay),1,0)+IF(AND(MONTH(AR32)='Copy of 2026'!month_4, F30='Copy of 2026'!OnCallOffDay),1,0)+IF(AND(MONTH(AS32)='Copy of 2026'!month_4, G30='Copy of 2026'!OnCallOffDay),1,0)+IF(AND(MONTH(AT32)='Copy of 2026'!month_4, H30='Copy of 2026'!OnCallOffDay),1,0)))</f>
        <v>#NAME?</v>
      </c>
      <c r="AF12" s="102"/>
      <c r="AG12" s="98" t="e">
        <f t="shared" ca="1" si="2"/>
        <v>#NAME?</v>
      </c>
      <c r="AH12" s="99"/>
      <c r="AI12" s="134" t="e">
        <f t="shared" ca="1" si="3"/>
        <v>#NAME?</v>
      </c>
      <c r="AJ12" s="99"/>
      <c r="AK12" s="100" t="str">
        <f ca="1">IFERROR(__xludf.DUMMYFUNCTION("if(AW12="""","""",IFERROR(SPARKLINE(AW12:AX12,{""charttype"",""bar"";""max"",1;""min"",0;""color1"",""#cbe5ed"";""color2"",""#f3f3f3""}),))"),"")</f>
        <v/>
      </c>
      <c r="AL12" s="101"/>
      <c r="AM12" s="101"/>
      <c r="AN12" s="101"/>
      <c r="AO12" s="101"/>
      <c r="AP12" s="101"/>
      <c r="AQ12" s="101"/>
      <c r="AR12" s="101"/>
      <c r="AS12" s="101"/>
      <c r="AT12" s="101"/>
      <c r="AU12" s="98" t="e">
        <f t="shared" ca="1" si="4"/>
        <v>#NAME?</v>
      </c>
      <c r="AV12" s="102"/>
      <c r="AW12" s="11" t="e">
        <f t="shared" ca="1" si="5"/>
        <v>#NAME?</v>
      </c>
      <c r="AX12" s="12" t="e">
        <f t="shared" ca="1" si="6"/>
        <v>#NAME?</v>
      </c>
    </row>
    <row r="13" spans="1:50" ht="18" customHeight="1">
      <c r="A13" s="3">
        <f t="shared" ref="A13:A66" si="8">SUM(D13:H13)</f>
        <v>0</v>
      </c>
      <c r="B13" s="23" t="s">
        <v>21</v>
      </c>
      <c r="C13" s="24" t="e">
        <f ca="1">IF(C14-1&lt;1, 52, C14-1)</f>
        <v>#NAME?</v>
      </c>
      <c r="D13" s="25" t="s">
        <v>6</v>
      </c>
      <c r="E13" s="32" t="s">
        <v>6</v>
      </c>
      <c r="F13" s="33" t="s">
        <v>6</v>
      </c>
      <c r="G13" s="28" t="s">
        <v>14</v>
      </c>
      <c r="H13" s="34" t="s">
        <v>6</v>
      </c>
      <c r="K13" s="29" t="e">
        <f t="shared" ref="K13:K66" si="9">AVERAGE(LARGE(A2:A13,1), LARGE(A2:A13,2),LARGE(A2:A13,3), LARGE(A2:A13,4),LARGE(A2:A13,5), LARGE(A2:A13,6),LARGE(A2:A13,7), LARGE(A2:A13,8),LARGE(A2:A13,9), LARGE(A2:A13,10))</f>
        <v>#REF!</v>
      </c>
      <c r="L13" s="29" t="e">
        <f t="shared" ref="L13:L66" si="10">AVERAGE(LARGE(A2:A13,1), LARGE(A2:A13,2),LARGE(A2:A13,3), LARGE(A2:A13,4),LARGE(A2:A13,5), LARGE(A2:A13,6),LARGE(A2:A13,7), LARGE(A2:A13,8))</f>
        <v>#REF!</v>
      </c>
      <c r="M13" s="29" t="e">
        <f t="shared" ref="M13:M66" si="11">AVERAGE(LARGE(A4:A13,1), LARGE(A4:A13,2),LARGE(A4:A13,3), LARGE(A4:A13,4),LARGE(A4:A13,5), LARGE(A4:A13,6),LARGE(A4:A13,7), LARGE(A4:A13,8))</f>
        <v>#REF!</v>
      </c>
      <c r="N13" s="30" t="e">
        <f t="shared" ref="N13:N66" si="12">IF(MAX(O13:P13)&gt;5,5,IF(MAX(O13:P13)&lt;0,0,ROUNDUP(MAX(O13:P13),0)))</f>
        <v>#REF!</v>
      </c>
      <c r="O13" s="82" t="e">
        <f t="shared" ref="O13:O23" si="13">($E$10*10)-SUM(LARGE(A3:A13,1), LARGE(A3:A13,2),LARGE(A3:A13,3), LARGE(A3:A13,4),LARGE(A3:A13,5), LARGE(A3:A13,6),LARGE(A3:A13,7), LARGE(A3:A13,8),LARGE(A3:A13,9), LARGE(A3:A13,10))</f>
        <v>#REF!</v>
      </c>
      <c r="P13" s="82" t="e">
        <f t="shared" ref="P13:P66" si="14">($E$10*8)-SUM(LARGE(A4:A13,1), LARGE(A4:A13,2),LARGE(A4:A13,3), LARGE(A4:A13,4),LARGE(A4:A13,5), LARGE(A4:A13,6),LARGE(A4:A13,7), LARGE(A4:A13,8))</f>
        <v>#REF!</v>
      </c>
      <c r="Q13" s="94"/>
      <c r="R13" s="103" t="e">
        <f t="shared" ca="1" si="7"/>
        <v>#NAME?</v>
      </c>
      <c r="S13" s="104"/>
      <c r="T13" s="104"/>
      <c r="U13" s="135" t="e">
        <f t="shared" ca="1" si="0"/>
        <v>#NAME?</v>
      </c>
      <c r="V13" s="136"/>
      <c r="W13" s="137" t="e">
        <f ca="1">IF('Copy of 2026'!WW_first_5=C30, COUNTIF(D31:H34,"&gt;0"), IF('Copy of 2026'!WW_first_5=C31, COUNTIF(D32:H35,"&gt;0"), COUNTIF(D30:H33,"&gt;0")))
+ IF('Copy of 2026'!WW_first_5=C30,
IF(AND(MONTH(R38)='Copy of 2026'!month_5, ISNUMBER(D30)),D30,0)+IF(AND(MONTH(S38)='Copy of 2026'!month_5, ISNUMBER(E30)),E30,0)+IF(AND(MONTH(T38)='Copy of 2026'!month_5, ISNUMBER(F30)),F30,0)+IF(AND(MONTH(U38)='Copy of 2026'!month_5, ISNUMBER(G30)),G30,0)+IF(AND(MONTH(V38)='Copy of 2026'!month_5, ISNUMBER(H30)),H30,0)
+IF(AND(MONTH(R43)='Copy of 2026'!month_5, ISNUMBER(D35)),D35,0)+IF(AND(MONTH(S43)='Copy of 2026'!month_5, ISNUMBER(E35)),E35,0)+IF(AND(MONTH(T43)='Copy of 2026'!month_5, ISNUMBER(F35)),F35,0)+IF(AND(MONTH(U43)='Copy of 2026'!month_5, ISNUMBER(G35)),G35,0)+IF(AND(MONTH(V43)='Copy of 2026'!month_5, ISNUMBER(H35)),H35,0),
IF('Copy of 2026'!WW_first_5=C31,
IF(AND(MONTH(R38)='Copy of 2026'!month_5, ISNUMBER(D31)),D31,0)+IF(AND(MONTH(S38)='Copy of 2026'!month_5, ISNUMBER(E31)),E31,0)+IF(AND(MONTH(T38)='Copy of 2026'!month_5, ISNUMBER(F31)),F31,0)+IF(AND(MONTH(U38)='Copy of 2026'!month_5, ISNUMBER(G31)),G31,0)+IF(AND(MONTH(V38)='Copy of 2026'!month_5, ISNUMBER(H31)),H31,0)
+IF(AND(MONTH(R43)='Copy of 2026'!month_5, ISNUMBER(D36)),D36,0)+IF(AND(MONTH(S43)='Copy of 2026'!month_5, ISNUMBER(E36)),E36,0)+IF(AND(MONTH(T43)='Copy of 2026'!month_5, ISNUMBER(F36)),F36,0)+IF(AND(MONTH(U43)='Copy of 2026'!month_5, ISNUMBER(G36)),G36,0)+IF(AND(MONTH(V43)='Copy of 2026'!month_5, ISNUMBER(H36)),H36,0),
IF(AND(MONTH(R38)='Copy of 2026'!month_5, ISNUMBER(D29)),D29,0)+IF(AND(MONTH(S38)='Copy of 2026'!month_5, ISNUMBER(E29)),E29,0)+IF(AND(MONTH(T38)='Copy of 2026'!month_5, ISNUMBER(F29)),F29,0)+IF(AND(MONTH(U38)='Copy of 2026'!month_5, ISNUMBER(G29)),G29,0)+IF(AND(MONTH(V38)='Copy of 2026'!month_5, ISNUMBER(H29)),H29,0)
+IF(AND(MONTH(R43)='Copy of 2026'!month_5, ISNUMBER(D34)),D34,0)+IF(AND(MONTH(S43)='Copy of 2026'!month_5, ISNUMBER(E34)),E34,0)+IF(AND(MONTH(T43)='Copy of 2026'!month_5, ISNUMBER(F34)),F34,0)+IF(AND(MONTH(U43)='Copy of 2026'!month_5, ISNUMBER(G34)),G34,0)+IF(AND(MONTH(V43)='Copy of 2026'!month_5, ISNUMBER(H34)),H34,0)))</f>
        <v>#NAME?</v>
      </c>
      <c r="X13" s="99"/>
      <c r="Y13" s="106" t="e">
        <f t="shared" ca="1" si="1"/>
        <v>#NAME?</v>
      </c>
      <c r="Z13" s="102"/>
      <c r="AA13" s="105" t="e">
        <f ca="1">IF('Copy of 2026'!WW_first_5=C30, COUNTIF(D31:H34,"="&amp;TEXT('Copy of 2026'!VacationDay,0)), IF('Copy of 2026'!WW_first_5=C31, COUNTIF(D32:H35,"="&amp;TEXT('Copy of 2026'!VacationDay,0)), COUNTIF(D30:H33,"="&amp;TEXT('Copy of 2026'!VacationDay,0))))
+ IF('Copy of 2026'!WW_first_5=C30,
IF(AND(MONTH(R38)='Copy of 2026'!month_5, D30='Copy of 2026'!VacationDay),1,0)+IF(AND(MONTH(S38)='Copy of 2026'!month_5, E30='Copy of 2026'!VacationDay),1,0)+IF(AND(MONTH(T38)='Copy of 2026'!month_5, F30='Copy of 2026'!VacationDay),1,0)+IF(AND(MONTH(U38)='Copy of 2026'!month_5, G30='Copy of 2026'!VacationDay),1,0)+IF(AND(MONTH(V38)='Copy of 2026'!month_5, H30='Copy of 2026'!VacationDay),1,0)
+IF(AND(MONTH(R43)='Copy of 2026'!month_5, D35='Copy of 2026'!VacationDay),1,0)+IF(AND(MONTH(S43)='Copy of 2026'!month_5, E35='Copy of 2026'!VacationDay),1,0)+IF(AND(MONTH(T43)='Copy of 2026'!month_5, F35='Copy of 2026'!VacationDay),1,0)+IF(AND(MONTH(U43)='Copy of 2026'!month_5, G35='Copy of 2026'!VacationDay),1,0)+IF(AND(MONTH(V43)='Copy of 2026'!month_5, H35='Copy of 2026'!VacationDay),1,0),
IF('Copy of 2026'!WW_first_5=C31,
IF(AND(MONTH(R38)='Copy of 2026'!month_5, D31='Copy of 2026'!VacationDay),1,0)+IF(AND(MONTH(S38)='Copy of 2026'!month_5, E31='Copy of 2026'!VacationDay),1,0)+IF(AND(MONTH(T38)='Copy of 2026'!month_5, F31='Copy of 2026'!VacationDay),1,0)+IF(AND(MONTH(U38)='Copy of 2026'!month_5, G31='Copy of 2026'!VacationDay),1,0)+IF(AND(MONTH(V38)='Copy of 2026'!month_5, H31='Copy of 2026'!VacationDay),1,0)
+IF(AND(MONTH(R43)='Copy of 2026'!month_5, D36='Copy of 2026'!VacationDay),1,0)+IF(AND(MONTH(S43)='Copy of 2026'!month_5, E36='Copy of 2026'!VacationDay),1,0)+IF(AND(MONTH(T43)='Copy of 2026'!month_5, F36='Copy of 2026'!VacationDay),1,0)+IF(AND(MONTH(U43)='Copy of 2026'!month_5, G36='Copy of 2026'!VacationDay),1,0)+IF(AND(MONTH(V43)='Copy of 2026'!month_5, H36='Copy of 2026'!VacationDay),1,0),
IF(AND(MONTH(R38)='Copy of 2026'!month_5, D29='Copy of 2026'!VacationDay),1,0)+IF(AND(MONTH(S38)='Copy of 2026'!month_5, E29='Copy of 2026'!VacationDay),1,0)+IF(AND(MONTH(T38)='Copy of 2026'!month_5, F29='Copy of 2026'!VacationDay),1,0)+IF(AND(MONTH(U38)='Copy of 2026'!month_5, G29='Copy of 2026'!VacationDay),1,0)+IF(AND(MONTH(V38)='Copy of 2026'!month_5, H29='Copy of 2026'!VacationDay),1,0)
+IF(AND(MONTH(R43)='Copy of 2026'!month_5, D34='Copy of 2026'!VacationDay),1,0)+IF(AND(MONTH(S43)='Copy of 2026'!month_5, E34='Copy of 2026'!VacationDay),1,0)+IF(AND(MONTH(T43)='Copy of 2026'!month_5, F34='Copy of 2026'!VacationDay),1,0)+IF(AND(MONTH(U43)='Copy of 2026'!month_5, G34='Copy of 2026'!VacationDay),1,0)+IF(AND(MONTH(V43)='Copy of 2026'!month_5, H34='Copy of 2026'!VacationDay),1,0)))</f>
        <v>#NAME?</v>
      </c>
      <c r="AB13" s="101"/>
      <c r="AC13" s="106" t="e">
        <f ca="1">IF('Copy of 2026'!WW_first_5=C30, COUNTIF(D31:H34,"="&amp;TEXT('Copy of 2026'!HolidayDay,0)), IF('Copy of 2026'!WW_first_5=C31, COUNTIF(D32:H35,"="&amp;TEXT('Copy of 2026'!HolidayDay,0)), COUNTIF(D30:H33,"="&amp;TEXT('Copy of 2026'!HolidayDay,0))))
+ IF('Copy of 2026'!WW_first_5=C30,
IF(AND(MONTH(R38)='Copy of 2026'!month_5, D30='Copy of 2026'!HolidayDay),1,0)+IF(AND(MONTH(S38)='Copy of 2026'!month_5, E30='Copy of 2026'!HolidayDay),1,0)+IF(AND(MONTH(T38)='Copy of 2026'!month_5, F30='Copy of 2026'!HolidayDay),1,0)+IF(AND(MONTH(U38)='Copy of 2026'!month_5, G30='Copy of 2026'!HolidayDay),1,0)+IF(AND(MONTH(V38)='Copy of 2026'!month_5, H30='Copy of 2026'!HolidayDay),1,0)
+IF(AND(MONTH(R43)='Copy of 2026'!month_5, D35='Copy of 2026'!HolidayDay),1,0)+IF(AND(MONTH(S43)='Copy of 2026'!month_5, E35='Copy of 2026'!HolidayDay),1,0)+IF(AND(MONTH(T43)='Copy of 2026'!month_5, F35='Copy of 2026'!HolidayDay),1,0)+IF(AND(MONTH(U43)='Copy of 2026'!month_5, G35='Copy of 2026'!HolidayDay),1,0)+IF(AND(MONTH(V43)='Copy of 2026'!month_5, H35='Copy of 2026'!HolidayDay),1,0),
IF('Copy of 2026'!WW_first_5=C31,
IF(AND(MONTH(R38)='Copy of 2026'!month_5, D31='Copy of 2026'!HolidayDay),1,0)+IF(AND(MONTH(S38)='Copy of 2026'!month_5, E31='Copy of 2026'!HolidayDay),1,0)+IF(AND(MONTH(T38)='Copy of 2026'!month_5, F31='Copy of 2026'!HolidayDay),1,0)+IF(AND(MONTH(U38)='Copy of 2026'!month_5, G31='Copy of 2026'!HolidayDay),1,0)+IF(AND(MONTH(V38)='Copy of 2026'!month_5, H31='Copy of 2026'!HolidayDay),1,0)
+IF(AND(MONTH(R43)='Copy of 2026'!month_5, D36='Copy of 2026'!HolidayDay),1,0)+IF(AND(MONTH(S43)='Copy of 2026'!month_5, E36='Copy of 2026'!HolidayDay),1,0)+IF(AND(MONTH(T43)='Copy of 2026'!month_5, F36='Copy of 2026'!HolidayDay),1,0)+IF(AND(MONTH(U43)='Copy of 2026'!month_5, G36='Copy of 2026'!HolidayDay),1,0)+IF(AND(MONTH(V43)='Copy of 2026'!month_5, H36='Copy of 2026'!HolidayDay),1,0),
IF(AND(MONTH(R38)='Copy of 2026'!month_5, D29='Copy of 2026'!HolidayDay),1,0)+IF(AND(MONTH(S38)='Copy of 2026'!month_5, E29='Copy of 2026'!HolidayDay),1,0)+IF(AND(MONTH(T38)='Copy of 2026'!month_5, F29='Copy of 2026'!HolidayDay),1,0)+IF(AND(MONTH(U38)='Copy of 2026'!month_5, G29='Copy of 2026'!HolidayDay),1,0)+IF(AND(MONTH(V38)='Copy of 2026'!month_5, H29='Copy of 2026'!HolidayDay),1,0)
+IF(AND(MONTH(R43)='Copy of 2026'!month_5, D34='Copy of 2026'!HolidayDay),1,0)+IF(AND(MONTH(S43)='Copy of 2026'!month_5, E34='Copy of 2026'!HolidayDay),1,0)+IF(AND(MONTH(T43)='Copy of 2026'!month_5, F34='Copy of 2026'!HolidayDay),1,0)+IF(AND(MONTH(U43)='Copy of 2026'!month_5, G34='Copy of 2026'!HolidayDay),1,0)+IF(AND(MONTH(V43)='Copy of 2026'!month_5, H34='Copy of 2026'!HolidayDay),1,0)))</f>
        <v>#NAME?</v>
      </c>
      <c r="AD13" s="101"/>
      <c r="AE13" s="106" t="e">
        <f ca="1">IF('Copy of 2026'!WW_first_5=C30, COUNTIF(D31:H34,"="&amp;TEXT('Copy of 2026'!OnCallOffDay,0)), IF('Copy of 2026'!WW_first_5=C31, COUNTIF(D32:H35,"="&amp;TEXT('Copy of 2026'!OnCallOffDay,0)), COUNTIF(D30:H33,"="&amp;TEXT('Copy of 2026'!OnCallOffDay,0))))
+ IF('Copy of 2026'!WW_first_5=C30,
IF(AND(MONTH(R38)='Copy of 2026'!month_5, D30='Copy of 2026'!OnCallOffDay),1,0)+IF(AND(MONTH(S38)='Copy of 2026'!month_5, E30='Copy of 2026'!OnCallOffDay),1,0)+IF(AND(MONTH(T38)='Copy of 2026'!month_5, F30='Copy of 2026'!OnCallOffDay),1,0)+IF(AND(MONTH(U38)='Copy of 2026'!month_5, G30='Copy of 2026'!OnCallOffDay),1,0)+IF(AND(MONTH(V38)='Copy of 2026'!month_5, H30='Copy of 2026'!OnCallOffDay),1,0)
+IF(AND(MONTH(R43)='Copy of 2026'!month_5, D35='Copy of 2026'!OnCallOffDay),1,0)+IF(AND(MONTH(S43)='Copy of 2026'!month_5, E35='Copy of 2026'!OnCallOffDay),1,0)+IF(AND(MONTH(T43)='Copy of 2026'!month_5, F35='Copy of 2026'!OnCallOffDay),1,0)+IF(AND(MONTH(U43)='Copy of 2026'!month_5, G35='Copy of 2026'!OnCallOffDay),1,0)+IF(AND(MONTH(V43)='Copy of 2026'!month_5, H35='Copy of 2026'!OnCallOffDay),1,0),
IF('Copy of 2026'!WW_first_5=C31,
IF(AND(MONTH(R38)='Copy of 2026'!month_5, D31='Copy of 2026'!OnCallOffDay),1,0)+IF(AND(MONTH(S38)='Copy of 2026'!month_5, E31='Copy of 2026'!OnCallOffDay),1,0)+IF(AND(MONTH(T38)='Copy of 2026'!month_5, F31='Copy of 2026'!OnCallOffDay),1,0)+IF(AND(MONTH(U38)='Copy of 2026'!month_5, G31='Copy of 2026'!OnCallOffDay),1,0)+IF(AND(MONTH(V38)='Copy of 2026'!month_5, H31='Copy of 2026'!OnCallOffDay),1,0)
+IF(AND(MONTH(R43)='Copy of 2026'!month_5, D36='Copy of 2026'!OnCallOffDay),1,0)+IF(AND(MONTH(S43)='Copy of 2026'!month_5, E36='Copy of 2026'!OnCallOffDay),1,0)+IF(AND(MONTH(T43)='Copy of 2026'!month_5, F36='Copy of 2026'!OnCallOffDay),1,0)+IF(AND(MONTH(U43)='Copy of 2026'!month_5, G36='Copy of 2026'!OnCallOffDay),1,0)+IF(AND(MONTH(V43)='Copy of 2026'!month_5, H36='Copy of 2026'!OnCallOffDay),1,0),
IF(AND(MONTH(R38)='Copy of 2026'!month_5, D29='Copy of 2026'!OnCallOffDay),1,0)+IF(AND(MONTH(S38)='Copy of 2026'!month_5, E29='Copy of 2026'!OnCallOffDay),1,0)+IF(AND(MONTH(T38)='Copy of 2026'!month_5, F29='Copy of 2026'!OnCallOffDay),1,0)+IF(AND(MONTH(U38)='Copy of 2026'!month_5, G29='Copy of 2026'!OnCallOffDay),1,0)+IF(AND(MONTH(V38)='Copy of 2026'!month_5, H29='Copy of 2026'!OnCallOffDay),1,0)
+IF(AND(MONTH(R43)='Copy of 2026'!month_5, D34='Copy of 2026'!OnCallOffDay),1,0)+IF(AND(MONTH(S43)='Copy of 2026'!month_5, E34='Copy of 2026'!OnCallOffDay),1,0)+IF(AND(MONTH(T43)='Copy of 2026'!month_5, F34='Copy of 2026'!OnCallOffDay),1,0)+IF(AND(MONTH(U43)='Copy of 2026'!month_5, G34='Copy of 2026'!OnCallOffDay),1,0)+IF(AND(MONTH(V43)='Copy of 2026'!month_5, H34='Copy of 2026'!OnCallOffDay),1,0)))</f>
        <v>#NAME?</v>
      </c>
      <c r="AF13" s="102"/>
      <c r="AG13" s="98" t="e">
        <f t="shared" ca="1" si="2"/>
        <v>#NAME?</v>
      </c>
      <c r="AH13" s="99"/>
      <c r="AI13" s="134" t="e">
        <f t="shared" ca="1" si="3"/>
        <v>#NAME?</v>
      </c>
      <c r="AJ13" s="99"/>
      <c r="AK13" s="100" t="str">
        <f ca="1">IFERROR(__xludf.DUMMYFUNCTION("if(AW13="""","""",IFERROR(SPARKLINE(AW13:AX13,{""charttype"",""bar"";""max"",1;""min"",0;""color1"",""#cbe5ed"";""color2"",""#f3f3f3""}),))"),"")</f>
        <v/>
      </c>
      <c r="AL13" s="101"/>
      <c r="AM13" s="101"/>
      <c r="AN13" s="101"/>
      <c r="AO13" s="101"/>
      <c r="AP13" s="101"/>
      <c r="AQ13" s="101"/>
      <c r="AR13" s="101"/>
      <c r="AS13" s="101"/>
      <c r="AT13" s="101"/>
      <c r="AU13" s="98" t="e">
        <f t="shared" ca="1" si="4"/>
        <v>#NAME?</v>
      </c>
      <c r="AV13" s="102"/>
      <c r="AW13" s="11" t="e">
        <f t="shared" ca="1" si="5"/>
        <v>#NAME?</v>
      </c>
      <c r="AX13" s="12" t="e">
        <f t="shared" ca="1" si="6"/>
        <v>#NAME?</v>
      </c>
    </row>
    <row r="14" spans="1:50" ht="18" customHeight="1">
      <c r="A14" s="3">
        <f t="shared" si="8"/>
        <v>2</v>
      </c>
      <c r="B14" s="23" t="s">
        <v>21</v>
      </c>
      <c r="C14" s="24" t="e">
        <f ca="1">WEEKNUM((DATE(YEAR(A1),MONTH(A1),1+1*7)-WEEKDAY(DATE(YEAR(A1),MONTH(A1),8-2))))</f>
        <v>#NAME?</v>
      </c>
      <c r="D14" s="25" t="s">
        <v>6</v>
      </c>
      <c r="E14" s="32" t="s">
        <v>6</v>
      </c>
      <c r="F14" s="33" t="s">
        <v>6</v>
      </c>
      <c r="G14" s="28">
        <v>1</v>
      </c>
      <c r="H14" s="34">
        <v>1</v>
      </c>
      <c r="K14" s="29" t="e">
        <f t="shared" si="9"/>
        <v>#REF!</v>
      </c>
      <c r="L14" s="29" t="e">
        <f t="shared" si="10"/>
        <v>#REF!</v>
      </c>
      <c r="M14" s="29" t="e">
        <f t="shared" si="11"/>
        <v>#REF!</v>
      </c>
      <c r="N14" s="30" t="e">
        <f t="shared" si="12"/>
        <v>#REF!</v>
      </c>
      <c r="O14" s="82" t="e">
        <f t="shared" si="13"/>
        <v>#REF!</v>
      </c>
      <c r="P14" s="82" t="e">
        <f t="shared" si="14"/>
        <v>#REF!</v>
      </c>
      <c r="Q14" s="94"/>
      <c r="R14" s="103" t="e">
        <f t="shared" ca="1" si="7"/>
        <v>#NAME?</v>
      </c>
      <c r="S14" s="104"/>
      <c r="T14" s="104"/>
      <c r="U14" s="135" t="e">
        <f t="shared" ca="1" si="0"/>
        <v>#NAME?</v>
      </c>
      <c r="V14" s="136"/>
      <c r="W14" s="137" t="e">
        <f ca="1">IF('Copy of 2026'!WW_first_6=C35, COUNTIF(D36:H39,"&gt;0"), IF('Copy of 2026'!WW_first_6=C36, COUNTIF(D37:H40,"&gt;0"), COUNTIF(D35:H38,"&gt;0")))
+ IF('Copy of 2026'!WW_first_6=C35,
IF(AND(MONTH(Z38)='Copy of 2026'!month_6, ISNUMBER(D35)),D35,0)+IF(AND(MONTH(AA38)='Copy of 2026'!month_6, ISNUMBER(E35)),E35,0)+IF(AND(MONTH(AB38)='Copy of 2026'!month_6, ISNUMBER(F35)),F35,0)+IF(AND(MONTH(AC38)='Copy of 2026'!month_6, ISNUMBER(G35)),G35,0)+IF(AND(MONTH(AD38)='Copy of 2026'!month_6, ISNUMBER(H35)),H35,0)
+IF(AND(MONTH(Z43)='Copy of 2026'!month_6, ISNUMBER(D40)),D40,0)+IF(AND(MONTH(AA43)='Copy of 2026'!month_6, ISNUMBER(E40)),E40,0)+IF(AND(MONTH(AB43)='Copy of 2026'!month_6, ISNUMBER(F40)),F40,0)+IF(AND(MONTH(AC43)='Copy of 2026'!month_6, ISNUMBER(G40)),G40,0)+IF(AND(MONTH(AD43)='Copy of 2026'!month_6, ISNUMBER(H40)),H40,0),
IF('Copy of 2026'!WW_first_6=C36,
IF(AND(MONTH(Z38)='Copy of 2026'!month_6, ISNUMBER(D36)),D36,0)+IF(AND(MONTH(AA38)='Copy of 2026'!month_6, ISNUMBER(E36)),E36,0)+IF(AND(MONTH(AB38)='Copy of 2026'!month_6, ISNUMBER(F36)),F36,0)+IF(AND(MONTH(AC38)='Copy of 2026'!month_6, ISNUMBER(G36)),G36,0)+IF(AND(MONTH(AD38)='Copy of 2026'!month_6, ISNUMBER(H36)),H36,0)
+IF(AND(MONTH(Z43)='Copy of 2026'!month_6, ISNUMBER(D41)),D41,0)+IF(AND(MONTH(AA43)='Copy of 2026'!month_6, ISNUMBER(E41)),E41,0)+IF(AND(MONTH(AB43)='Copy of 2026'!month_6, ISNUMBER(F41)),F41,0)+IF(AND(MONTH(AC43)='Copy of 2026'!month_6, ISNUMBER(G41)),G41,0)+IF(AND(MONTH(AD43)='Copy of 2026'!month_6, ISNUMBER(H41)),H41,0),
IF(AND(MONTH(Z38)='Copy of 2026'!month_6, ISNUMBER(D34)),D34,0)+IF(AND(MONTH(AA38)='Copy of 2026'!month_6, ISNUMBER(E34)),E34,0)+IF(AND(MONTH(AB38)='Copy of 2026'!month_6, ISNUMBER(F34)),F34,0)+IF(AND(MONTH(AC38)='Copy of 2026'!month_6, ISNUMBER(G34)),G34,0)+IF(AND(MONTH(AD38)='Copy of 2026'!month_6, ISNUMBER(H34)),H34,0)
+IF(AND(MONTH(Z43)='Copy of 2026'!month_6, ISNUMBER(D39)),D39,0)+IF(AND(MONTH(AA43)='Copy of 2026'!month_6, ISNUMBER(E39)),E39,0)+IF(AND(MONTH(AB43)='Copy of 2026'!month_6, ISNUMBER(F39)),F39,0)+IF(AND(MONTH(AC43)='Copy of 2026'!month_6, ISNUMBER(G39)),G39,0)+IF(AND(MONTH(AD43)='Copy of 2026'!month_6, ISNUMBER(H39)),H39,0)))</f>
        <v>#NAME?</v>
      </c>
      <c r="X14" s="99"/>
      <c r="Y14" s="106" t="e">
        <f t="shared" ca="1" si="1"/>
        <v>#NAME?</v>
      </c>
      <c r="Z14" s="102"/>
      <c r="AA14" s="105" t="e">
        <f ca="1">IF('Copy of 2026'!WW_first_6=C35, COUNTIF(D36:H39,"="&amp;TEXT('Copy of 2026'!VacationDay,0)), IF('Copy of 2026'!WW_first_6=C36, COUNTIF(D37:H40,"="&amp;TEXT('Copy of 2026'!VacationDay,0)), COUNTIF(D35:H38,"="&amp;TEXT('Copy of 2026'!VacationDay,0))))
+ IF('Copy of 2026'!WW_first_6=C35,
IF(AND(MONTH(Z38)='Copy of 2026'!month_6, D35='Copy of 2026'!VacationDay),1,0)+IF(AND(MONTH(AA38)='Copy of 2026'!month_6, E35='Copy of 2026'!VacationDay),1,0)+IF(AND(MONTH(AB38)='Copy of 2026'!month_6, F35='Copy of 2026'!VacationDay),1,0)+IF(AND(MONTH(AC38)='Copy of 2026'!month_6, G35='Copy of 2026'!VacationDay),1,0)+IF(AND(MONTH(AD38)='Copy of 2026'!month_6, H35='Copy of 2026'!VacationDay),1,0)
+IF(AND(MONTH(Z43)='Copy of 2026'!month_6, D40='Copy of 2026'!VacationDay),1,0)+IF(AND(MONTH(AA43)='Copy of 2026'!month_6, E40='Copy of 2026'!VacationDay),1,0)+IF(AND(MONTH(AB43)='Copy of 2026'!month_6, F40='Copy of 2026'!VacationDay),1,0)+IF(AND(MONTH(AC43)='Copy of 2026'!month_6, G40='Copy of 2026'!VacationDay),1,0)+IF(AND(MONTH(AD43)='Copy of 2026'!month_6, H40='Copy of 2026'!VacationDay),1,0),
IF('Copy of 2026'!WW_first_6=C36,
IF(AND(MONTH(Z38)='Copy of 2026'!month_6, D36='Copy of 2026'!VacationDay),1,0)+IF(AND(MONTH(AA38)='Copy of 2026'!month_6, E36='Copy of 2026'!VacationDay),1,0)+IF(AND(MONTH(AB38)='Copy of 2026'!month_6, F36='Copy of 2026'!VacationDay),1,0)+IF(AND(MONTH(AC38)='Copy of 2026'!month_6, G36='Copy of 2026'!VacationDay),1,0)+IF(AND(MONTH(AD38)='Copy of 2026'!month_6, H36='Copy of 2026'!VacationDay),1,0)
+IF(AND(MONTH(Z43)='Copy of 2026'!month_6, D41='Copy of 2026'!VacationDay),1,0)+IF(AND(MONTH(AA43)='Copy of 2026'!month_6, E41='Copy of 2026'!VacationDay),1,0)+IF(AND(MONTH(AB43)='Copy of 2026'!month_6, F41='Copy of 2026'!VacationDay),1,0)+IF(AND(MONTH(AC43)='Copy of 2026'!month_6, G41='Copy of 2026'!VacationDay),1,0)+IF(AND(MONTH(AD43)='Copy of 2026'!month_6, H41='Copy of 2026'!VacationDay),1,0),
IF(AND(MONTH(Z38)='Copy of 2026'!month_6, D34='Copy of 2026'!VacationDay),1,0)+IF(AND(MONTH(AA38)='Copy of 2026'!month_6, E34='Copy of 2026'!VacationDay),1,0)+IF(AND(MONTH(AB38)='Copy of 2026'!month_6, F34='Copy of 2026'!VacationDay),1,0)+IF(AND(MONTH(AC38)='Copy of 2026'!month_6, G34='Copy of 2026'!VacationDay),1,0)+IF(AND(MONTH(AD38)='Copy of 2026'!month_6, H34='Copy of 2026'!VacationDay),1,0)
+IF(AND(MONTH(Z43)='Copy of 2026'!month_6, D39='Copy of 2026'!VacationDay),1,0)+IF(AND(MONTH(AA43)='Copy of 2026'!month_6, E39='Copy of 2026'!VacationDay),1,0)+IF(AND(MONTH(AB43)='Copy of 2026'!month_6, F39='Copy of 2026'!VacationDay),1,0)+IF(AND(MONTH(AC43)='Copy of 2026'!month_6, G39='Copy of 2026'!VacationDay),1,0)+IF(AND(MONTH(AD43)='Copy of 2026'!month_6, H39='Copy of 2026'!VacationDay),1,0)))</f>
        <v>#NAME?</v>
      </c>
      <c r="AB14" s="101"/>
      <c r="AC14" s="106" t="e">
        <f ca="1">IF('Copy of 2026'!WW_first_6=C35, COUNTIF(D36:H39,"="&amp;TEXT('Copy of 2026'!HolidayDay,0)), IF('Copy of 2026'!WW_first_6=C36, COUNTIF(D37:H40,"="&amp;TEXT('Copy of 2026'!HolidayDay,0)), COUNTIF(D35:H38,"="&amp;TEXT('Copy of 2026'!HolidayDay,0))))
+ IF('Copy of 2026'!WW_first_6=C35,
IF(AND(MONTH(Z38)='Copy of 2026'!month_6, D35='Copy of 2026'!HolidayDay),1,0)+IF(AND(MONTH(AA38)='Copy of 2026'!month_6, E35='Copy of 2026'!HolidayDay),1,0)+IF(AND(MONTH(AB38)='Copy of 2026'!month_6, F35='Copy of 2026'!HolidayDay),1,0)+IF(AND(MONTH(AC38)='Copy of 2026'!month_6, G35='Copy of 2026'!HolidayDay),1,0)+IF(AND(MONTH(AD38)='Copy of 2026'!month_6, H35='Copy of 2026'!HolidayDay),1,0)
+IF(AND(MONTH(Z43)='Copy of 2026'!month_6, D40='Copy of 2026'!HolidayDay),1,0)+IF(AND(MONTH(AA43)='Copy of 2026'!month_6, E40='Copy of 2026'!HolidayDay),1,0)+IF(AND(MONTH(AB43)='Copy of 2026'!month_6, F40='Copy of 2026'!HolidayDay),1,0)+IF(AND(MONTH(AC43)='Copy of 2026'!month_6, G40='Copy of 2026'!HolidayDay),1,0)+IF(AND(MONTH(AD43)='Copy of 2026'!month_6, H40='Copy of 2026'!HolidayDay),1,0),
IF('Copy of 2026'!WW_first_6=C36,
IF(AND(MONTH(Z38)='Copy of 2026'!month_6, D36='Copy of 2026'!HolidayDay),1,0)+IF(AND(MONTH(AA38)='Copy of 2026'!month_6, E36='Copy of 2026'!HolidayDay),1,0)+IF(AND(MONTH(AB38)='Copy of 2026'!month_6, F36='Copy of 2026'!HolidayDay),1,0)+IF(AND(MONTH(AC38)='Copy of 2026'!month_6, G36='Copy of 2026'!HolidayDay),1,0)+IF(AND(MONTH(AD38)='Copy of 2026'!month_6, H36='Copy of 2026'!HolidayDay),1,0)
+IF(AND(MONTH(Z43)='Copy of 2026'!month_6, D41='Copy of 2026'!HolidayDay),1,0)+IF(AND(MONTH(AA43)='Copy of 2026'!month_6, E41='Copy of 2026'!HolidayDay),1,0)+IF(AND(MONTH(AB43)='Copy of 2026'!month_6, F41='Copy of 2026'!HolidayDay),1,0)+IF(AND(MONTH(AC43)='Copy of 2026'!month_6, G41='Copy of 2026'!HolidayDay),1,0)+IF(AND(MONTH(AD43)='Copy of 2026'!month_6, H41='Copy of 2026'!HolidayDay),1,0),
IF(AND(MONTH(Z38)='Copy of 2026'!month_6, D34='Copy of 2026'!HolidayDay),1,0)+IF(AND(MONTH(AA38)='Copy of 2026'!month_6, E34='Copy of 2026'!HolidayDay),1,0)+IF(AND(MONTH(AB38)='Copy of 2026'!month_6, F34='Copy of 2026'!HolidayDay),1,0)+IF(AND(MONTH(AC38)='Copy of 2026'!month_6, G34='Copy of 2026'!HolidayDay),1,0)+IF(AND(MONTH(AD38)='Copy of 2026'!month_6, H34='Copy of 2026'!HolidayDay),1,0)
+IF(AND(MONTH(Z43)='Copy of 2026'!month_6, D39='Copy of 2026'!HolidayDay),1,0)+IF(AND(MONTH(AA43)='Copy of 2026'!month_6, E39='Copy of 2026'!HolidayDay),1,0)+IF(AND(MONTH(AB43)='Copy of 2026'!month_6, F39='Copy of 2026'!HolidayDay),1,0)+IF(AND(MONTH(AC43)='Copy of 2026'!month_6, G39='Copy of 2026'!HolidayDay),1,0)+IF(AND(MONTH(AD43)='Copy of 2026'!month_6, H39='Copy of 2026'!HolidayDay),1,0)))</f>
        <v>#NAME?</v>
      </c>
      <c r="AD14" s="101"/>
      <c r="AE14" s="106" t="e">
        <f ca="1">IF('Copy of 2026'!WW_first_6=C35, COUNTIF(D36:H39,"="&amp;TEXT('Copy of 2026'!OnCallOffDay,0)), IF('Copy of 2026'!WW_first_6=C36, COUNTIF(D37:H40,"="&amp;TEXT('Copy of 2026'!OnCallOffDay,0)), COUNTIF(D35:H38,"="&amp;TEXT('Copy of 2026'!OnCallOffDay,0))))
+ IF('Copy of 2026'!WW_first_6=C35,
IF(AND(MONTH(Z38)='Copy of 2026'!month_6, D35='Copy of 2026'!OnCallOffDay),1,0)+IF(AND(MONTH(AA38)='Copy of 2026'!month_6, E35='Copy of 2026'!OnCallOffDay),1,0)+IF(AND(MONTH(AB38)='Copy of 2026'!month_6, F35='Copy of 2026'!OnCallOffDay),1,0)+IF(AND(MONTH(AC38)='Copy of 2026'!month_6, G35='Copy of 2026'!OnCallOffDay),1,0)+IF(AND(MONTH(AD38)='Copy of 2026'!month_6, H35='Copy of 2026'!OnCallOffDay),1,0)
+IF(AND(MONTH(Z43)='Copy of 2026'!month_6, D40='Copy of 2026'!OnCallOffDay),1,0)+IF(AND(MONTH(AA43)='Copy of 2026'!month_6, E40='Copy of 2026'!OnCallOffDay),1,0)+IF(AND(MONTH(AB43)='Copy of 2026'!month_6, F40='Copy of 2026'!OnCallOffDay),1,0)+IF(AND(MONTH(AC43)='Copy of 2026'!month_6, G40='Copy of 2026'!OnCallOffDay),1,0)+IF(AND(MONTH(AD43)='Copy of 2026'!month_6, H40='Copy of 2026'!OnCallOffDay),1,0),
IF('Copy of 2026'!WW_first_6=C36,
IF(AND(MONTH(Z38)='Copy of 2026'!month_6, D36='Copy of 2026'!OnCallOffDay),1,0)+IF(AND(MONTH(AA38)='Copy of 2026'!month_6, E36='Copy of 2026'!OnCallOffDay),1,0)+IF(AND(MONTH(AB38)='Copy of 2026'!month_6, F36='Copy of 2026'!OnCallOffDay),1,0)+IF(AND(MONTH(AC38)='Copy of 2026'!month_6, G36='Copy of 2026'!OnCallOffDay),1,0)+IF(AND(MONTH(AD38)='Copy of 2026'!month_6, H36='Copy of 2026'!OnCallOffDay),1,0)
+IF(AND(MONTH(Z43)='Copy of 2026'!month_6, D41='Copy of 2026'!OnCallOffDay),1,0)+IF(AND(MONTH(AA43)='Copy of 2026'!month_6, E41='Copy of 2026'!OnCallOffDay),1,0)+IF(AND(MONTH(AB43)='Copy of 2026'!month_6, F41='Copy of 2026'!OnCallOffDay),1,0)+IF(AND(MONTH(AC43)='Copy of 2026'!month_6, G41='Copy of 2026'!OnCallOffDay),1,0)+IF(AND(MONTH(AD43)='Copy of 2026'!month_6, H41='Copy of 2026'!OnCallOffDay),1,0),
IF(AND(MONTH(Z38)='Copy of 2026'!month_6, D34='Copy of 2026'!OnCallOffDay),1,0)+IF(AND(MONTH(AA38)='Copy of 2026'!month_6, E34='Copy of 2026'!OnCallOffDay),1,0)+IF(AND(MONTH(AB38)='Copy of 2026'!month_6, F34='Copy of 2026'!OnCallOffDay),1,0)+IF(AND(MONTH(AC38)='Copy of 2026'!month_6, G34='Copy of 2026'!OnCallOffDay),1,0)+IF(AND(MONTH(AD38)='Copy of 2026'!month_6, H34='Copy of 2026'!OnCallOffDay),1,0)
+IF(AND(MONTH(Z43)='Copy of 2026'!month_6, D39='Copy of 2026'!OnCallOffDay),1,0)+IF(AND(MONTH(AA43)='Copy of 2026'!month_6, E39='Copy of 2026'!OnCallOffDay),1,0)+IF(AND(MONTH(AB43)='Copy of 2026'!month_6, F39='Copy of 2026'!OnCallOffDay),1,0)+IF(AND(MONTH(AC43)='Copy of 2026'!month_6, G39='Copy of 2026'!OnCallOffDay),1,0)+IF(AND(MONTH(AD43)='Copy of 2026'!month_6, H39='Copy of 2026'!OnCallOffDay),1,0)))</f>
        <v>#NAME?</v>
      </c>
      <c r="AF14" s="102"/>
      <c r="AG14" s="98" t="e">
        <f t="shared" ca="1" si="2"/>
        <v>#NAME?</v>
      </c>
      <c r="AH14" s="99"/>
      <c r="AI14" s="134" t="e">
        <f t="shared" ca="1" si="3"/>
        <v>#NAME?</v>
      </c>
      <c r="AJ14" s="99"/>
      <c r="AK14" s="100" t="str">
        <f ca="1">IFERROR(__xludf.DUMMYFUNCTION("if(AW14="""","""",IFERROR(SPARKLINE(AW14:AX14,{""charttype"",""bar"";""max"",1;""min"",0;""color1"",""#cbe5ed"";""color2"",""#f3f3f3""}),))"),"")</f>
        <v/>
      </c>
      <c r="AL14" s="101"/>
      <c r="AM14" s="101"/>
      <c r="AN14" s="101"/>
      <c r="AO14" s="101"/>
      <c r="AP14" s="101"/>
      <c r="AQ14" s="101"/>
      <c r="AR14" s="101"/>
      <c r="AS14" s="101"/>
      <c r="AT14" s="101"/>
      <c r="AU14" s="98" t="e">
        <f t="shared" ca="1" si="4"/>
        <v>#NAME?</v>
      </c>
      <c r="AV14" s="102"/>
      <c r="AW14" s="11" t="e">
        <f t="shared" ca="1" si="5"/>
        <v>#NAME?</v>
      </c>
      <c r="AX14" s="12" t="e">
        <f t="shared" ca="1" si="6"/>
        <v>#NAME?</v>
      </c>
    </row>
    <row r="15" spans="1:50" ht="18" customHeight="1">
      <c r="A15" s="3">
        <f t="shared" si="8"/>
        <v>5</v>
      </c>
      <c r="B15" s="23" t="s">
        <v>21</v>
      </c>
      <c r="C15" s="24" t="e">
        <f t="shared" ref="C15:C66" ca="1" si="15">IF(C14+1&gt;52, 1, C14+1)</f>
        <v>#NAME?</v>
      </c>
      <c r="D15" s="25">
        <v>1</v>
      </c>
      <c r="E15" s="32">
        <v>1</v>
      </c>
      <c r="F15" s="33">
        <v>1</v>
      </c>
      <c r="G15" s="28">
        <v>1</v>
      </c>
      <c r="H15" s="34">
        <v>1</v>
      </c>
      <c r="I15" s="35"/>
      <c r="J15" s="35"/>
      <c r="K15" s="29" t="e">
        <f t="shared" si="9"/>
        <v>#REF!</v>
      </c>
      <c r="L15" s="29" t="e">
        <f t="shared" si="10"/>
        <v>#REF!</v>
      </c>
      <c r="M15" s="29" t="e">
        <f t="shared" si="11"/>
        <v>#REF!</v>
      </c>
      <c r="N15" s="30" t="e">
        <f t="shared" si="12"/>
        <v>#REF!</v>
      </c>
      <c r="O15" s="82" t="e">
        <f t="shared" si="13"/>
        <v>#REF!</v>
      </c>
      <c r="P15" s="82" t="e">
        <f t="shared" si="14"/>
        <v>#REF!</v>
      </c>
      <c r="Q15" s="94"/>
      <c r="R15" s="103" t="e">
        <f t="shared" ca="1" si="7"/>
        <v>#NAME?</v>
      </c>
      <c r="S15" s="104"/>
      <c r="T15" s="104"/>
      <c r="U15" s="135" t="e">
        <f t="shared" ca="1" si="0"/>
        <v>#NAME?</v>
      </c>
      <c r="V15" s="136"/>
      <c r="W15" s="137" t="e">
        <f ca="1">IF('Copy of 2026'!WW_first_7=C39, COUNTIF(D40:H43,"&gt;0"), IF('Copy of 2026'!WW_first_7=C40, COUNTIF(D41:H44,"&gt;0"), COUNTIF(D39:H42,"&gt;0")))
+ IF('Copy of 2026'!WW_first_7=C39,
IF(AND(MONTH(AH38)='Copy of 2026'!month_7, ISNUMBER(D39)),D39,0)+IF(AND(MONTH(AI38)='Copy of 2026'!month_7, ISNUMBER(E39)),E39,0)+IF(AND(MONTH(AJ38)='Copy of 2026'!month_7, ISNUMBER(F39)),F39,0)+IF(AND(MONTH(AK38)='Copy of 2026'!month_7, ISNUMBER(G39)),G39,0)+IF(AND(MONTH(AL38)='Copy of 2026'!month_7, ISNUMBER(H39)),H39,0)
+IF(AND(MONTH(AH43)='Copy of 2026'!month_7, ISNUMBER(D44)),D44,0)+IF(AND(MONTH(AI43)='Copy of 2026'!month_7, ISNUMBER(E44)),E44,0)+IF(AND(MONTH(AJ43)='Copy of 2026'!month_7, ISNUMBER(F44)),F44,0)+IF(AND(MONTH(AK43)='Copy of 2026'!month_7, ISNUMBER(G44)),G44,0)+IF(AND(MONTH(AL43)='Copy of 2026'!month_7, ISNUMBER(H44)),H44,0),
IF('Copy of 2026'!WW_first_7=C40,
IF(AND(MONTH(AH38)='Copy of 2026'!month_7, ISNUMBER(D40)),D40,0)+IF(AND(MONTH(AI38)='Copy of 2026'!month_7, ISNUMBER(E40)),E40,0)+IF(AND(MONTH(AJ38)='Copy of 2026'!month_7, ISNUMBER(F40)),F40,0)+IF(AND(MONTH(AK38)='Copy of 2026'!month_7, ISNUMBER(G40)),G40,0)+IF(AND(MONTH(AL38)='Copy of 2026'!month_7, ISNUMBER(H40)),H40,0)
+IF(AND(MONTH(AH43)='Copy of 2026'!month_7, ISNUMBER(D45)),D45,0)+IF(AND(MONTH(AI43)='Copy of 2026'!month_7, ISNUMBER(E45)),E45,0)+IF(AND(MONTH(AJ43)='Copy of 2026'!month_7, ISNUMBER(F45)),F45,0)+IF(AND(MONTH(AK43)='Copy of 2026'!month_7, ISNUMBER(G45)),G45,0)+IF(AND(MONTH(AL43)='Copy of 2026'!month_7, ISNUMBER(H45)),H45,0),
IF(AND(MONTH(AH38)='Copy of 2026'!month_7, ISNUMBER(D38)),D38,0)+IF(AND(MONTH(AI38)='Copy of 2026'!month_7, ISNUMBER(E38)),E38,0)+IF(AND(MONTH(AJ38)='Copy of 2026'!month_7, ISNUMBER(F38)),F38,0)+IF(AND(MONTH(AK38)='Copy of 2026'!month_7, ISNUMBER(G38)),G38,0)+IF(AND(MONTH(AL38)='Copy of 2026'!month_7, ISNUMBER(H38)),H38,0)
+IF(AND(MONTH(AH43)='Copy of 2026'!month_7, ISNUMBER(D43)),D43,0)+IF(AND(MONTH(AI43)='Copy of 2026'!month_7, ISNUMBER(E43)),E43,0)+IF(AND(MONTH(AJ43)='Copy of 2026'!month_7, ISNUMBER(F43)),F43,0)+IF(AND(MONTH(AK43)='Copy of 2026'!month_7, ISNUMBER(G43)),G43,0)+IF(AND(MONTH(AL43)='Copy of 2026'!month_7, ISNUMBER(H43)),H43,0)))</f>
        <v>#NAME?</v>
      </c>
      <c r="X15" s="99"/>
      <c r="Y15" s="106" t="e">
        <f t="shared" ca="1" si="1"/>
        <v>#NAME?</v>
      </c>
      <c r="Z15" s="102"/>
      <c r="AA15" s="105" t="e">
        <f ca="1">IF('Copy of 2026'!WW_first_7=C39, COUNTIF(D40:H43,"="&amp;TEXT('Copy of 2026'!VacationDay,0)), IF('Copy of 2026'!WW_first_7=C40, COUNTIF(D41:H44,"="&amp;TEXT('Copy of 2026'!VacationDay,0)), COUNTIF(D39:H42,"="&amp;TEXT('Copy of 2026'!VacationDay,0))))
+ IF('Copy of 2026'!WW_first_7=C39,
IF(AND(MONTH(AH38)='Copy of 2026'!month_7, D39='Copy of 2026'!VacationDay),1,0)+IF(AND(MONTH(AI38)='Copy of 2026'!month_7, E39='Copy of 2026'!VacationDay),1,0)+IF(AND(MONTH(AJ38)='Copy of 2026'!month_7, F39='Copy of 2026'!VacationDay),1,0)+IF(AND(MONTH(AK38)='Copy of 2026'!month_7, G39='Copy of 2026'!VacationDay),1,0)+IF(AND(MONTH(AL38)='Copy of 2026'!month_7, H39='Copy of 2026'!VacationDay),1,0)
+IF(AND(MONTH(AH43)='Copy of 2026'!month_7, D44='Copy of 2026'!VacationDay),1,0)+IF(AND(MONTH(AI43)='Copy of 2026'!month_7, E44='Copy of 2026'!VacationDay),1,0)+IF(AND(MONTH(AJ43)='Copy of 2026'!month_7, F44='Copy of 2026'!VacationDay),1,0)+IF(AND(MONTH(AK43)='Copy of 2026'!month_7, G44='Copy of 2026'!VacationDay),1,0)+IF(AND(MONTH(AL43)='Copy of 2026'!month_7, H44='Copy of 2026'!VacationDay),1,0),
IF('Copy of 2026'!WW_first_7=C40,
IF(AND(MONTH(AH38)='Copy of 2026'!month_7, D40='Copy of 2026'!VacationDay),1,0)+IF(AND(MONTH(AI38)='Copy of 2026'!month_7, E40='Copy of 2026'!VacationDay),1,0)+IF(AND(MONTH(AJ38)='Copy of 2026'!month_7, F40='Copy of 2026'!VacationDay),1,0)+IF(AND(MONTH(AK38)='Copy of 2026'!month_7, G40='Copy of 2026'!VacationDay),1,0)+IF(AND(MONTH(AL38)='Copy of 2026'!month_7, H40='Copy of 2026'!VacationDay),1,0)
+IF(AND(MONTH(AH43)='Copy of 2026'!month_7, D45='Copy of 2026'!VacationDay),1,0)+IF(AND(MONTH(AI43)='Copy of 2026'!month_7, E45='Copy of 2026'!VacationDay),1,0)+IF(AND(MONTH(AJ43)='Copy of 2026'!month_7, F45='Copy of 2026'!VacationDay),1,0)+IF(AND(MONTH(AK43)='Copy of 2026'!month_7, G45='Copy of 2026'!VacationDay),1,0)+IF(AND(MONTH(AL43)='Copy of 2026'!month_7, H45='Copy of 2026'!VacationDay),1,0),
IF(AND(MONTH(AH38)='Copy of 2026'!month_7, D38='Copy of 2026'!VacationDay),1,0)+IF(AND(MONTH(AI38)='Copy of 2026'!month_7, E38='Copy of 2026'!VacationDay),1,0)+IF(AND(MONTH(AJ38)='Copy of 2026'!month_7, F38='Copy of 2026'!VacationDay),1,0)+IF(AND(MONTH(AK38)='Copy of 2026'!month_7, G38='Copy of 2026'!VacationDay),1,0)+IF(AND(MONTH(AL38)='Copy of 2026'!month_7, H38='Copy of 2026'!VacationDay),1,0)
+IF(AND(MONTH(AH43)='Copy of 2026'!month_7, D43='Copy of 2026'!VacationDay),1,0)+IF(AND(MONTH(AI43)='Copy of 2026'!month_7, E43='Copy of 2026'!VacationDay),1,0)+IF(AND(MONTH(AJ43)='Copy of 2026'!month_7, F43='Copy of 2026'!VacationDay),1,0)+IF(AND(MONTH(AK43)='Copy of 2026'!month_7, G43='Copy of 2026'!VacationDay),1,0)+IF(AND(MONTH(AL43)='Copy of 2026'!month_7, H43='Copy of 2026'!VacationDay),1,0)))</f>
        <v>#NAME?</v>
      </c>
      <c r="AB15" s="101"/>
      <c r="AC15" s="106" t="e">
        <f ca="1">IF('Copy of 2026'!WW_first_7=C39, COUNTIF(D40:H43,"="&amp;TEXT('Copy of 2026'!HolidayDay,0)), IF('Copy of 2026'!WW_first_7=C40, COUNTIF(D41:H44,"="&amp;TEXT('Copy of 2026'!HolidayDay,0)), COUNTIF(D39:H42,"="&amp;TEXT('Copy of 2026'!HolidayDay,0))))
+ IF('Copy of 2026'!WW_first_7=C39,
IF(AND(MONTH(AH38)='Copy of 2026'!month_7, D39='Copy of 2026'!HolidayDay),1,0)+IF(AND(MONTH(AI38)='Copy of 2026'!month_7, E39='Copy of 2026'!HolidayDay),1,0)+IF(AND(MONTH(AJ38)='Copy of 2026'!month_7, F39='Copy of 2026'!HolidayDay),1,0)+IF(AND(MONTH(AK38)='Copy of 2026'!month_7, G39='Copy of 2026'!HolidayDay),1,0)+IF(AND(MONTH(AL38)='Copy of 2026'!month_7, H39='Copy of 2026'!HolidayDay),1,0)
+IF(AND(MONTH(AH43)='Copy of 2026'!month_7, D44='Copy of 2026'!HolidayDay),1,0)+IF(AND(MONTH(AI43)='Copy of 2026'!month_7, E44='Copy of 2026'!HolidayDay),1,0)+IF(AND(MONTH(AJ43)='Copy of 2026'!month_7, F44='Copy of 2026'!HolidayDay),1,0)+IF(AND(MONTH(AK43)='Copy of 2026'!month_7, G44='Copy of 2026'!HolidayDay),1,0)+IF(AND(MONTH(AL43)='Copy of 2026'!month_7, H44='Copy of 2026'!HolidayDay),1,0),
IF('Copy of 2026'!WW_first_7=C40,
IF(AND(MONTH(AH38)='Copy of 2026'!month_7, D40='Copy of 2026'!HolidayDay),1,0)+IF(AND(MONTH(AI38)='Copy of 2026'!month_7, E40='Copy of 2026'!HolidayDay),1,0)+IF(AND(MONTH(AJ38)='Copy of 2026'!month_7, F40='Copy of 2026'!HolidayDay),1,0)+IF(AND(MONTH(AK38)='Copy of 2026'!month_7, G40='Copy of 2026'!HolidayDay),1,0)+IF(AND(MONTH(AL38)='Copy of 2026'!month_7, H40='Copy of 2026'!HolidayDay),1,0)
+IF(AND(MONTH(AH43)='Copy of 2026'!month_7, D45='Copy of 2026'!HolidayDay),1,0)+IF(AND(MONTH(AI43)='Copy of 2026'!month_7, E45='Copy of 2026'!HolidayDay),1,0)+IF(AND(MONTH(AJ43)='Copy of 2026'!month_7, F45='Copy of 2026'!HolidayDay),1,0)+IF(AND(MONTH(AK43)='Copy of 2026'!month_7, G45='Copy of 2026'!HolidayDay),1,0)+IF(AND(MONTH(AL43)='Copy of 2026'!month_7, H45='Copy of 2026'!HolidayDay),1,0),
IF(AND(MONTH(AH38)='Copy of 2026'!month_7, D38='Copy of 2026'!HolidayDay),1,0)+IF(AND(MONTH(AI38)='Copy of 2026'!month_7, E38='Copy of 2026'!HolidayDay),1,0)+IF(AND(MONTH(AJ38)='Copy of 2026'!month_7, F38='Copy of 2026'!HolidayDay),1,0)+IF(AND(MONTH(AK38)='Copy of 2026'!month_7, G38='Copy of 2026'!HolidayDay),1,0)+IF(AND(MONTH(AL38)='Copy of 2026'!month_7, H38='Copy of 2026'!HolidayDay),1,0)
+IF(AND(MONTH(AH43)='Copy of 2026'!month_7, D43='Copy of 2026'!HolidayDay),1,0)+IF(AND(MONTH(AI43)='Copy of 2026'!month_7, E43='Copy of 2026'!HolidayDay),1,0)+IF(AND(MONTH(AJ43)='Copy of 2026'!month_7, F43='Copy of 2026'!HolidayDay),1,0)+IF(AND(MONTH(AK43)='Copy of 2026'!month_7, G43='Copy of 2026'!HolidayDay),1,0)+IF(AND(MONTH(AL43)='Copy of 2026'!month_7, H43='Copy of 2026'!HolidayDay),1,0)))</f>
        <v>#NAME?</v>
      </c>
      <c r="AD15" s="101"/>
      <c r="AE15" s="106" t="e">
        <f ca="1">IF('Copy of 2026'!WW_first_7=C39, COUNTIF(D40:H43,"="&amp;TEXT('Copy of 2026'!OnCallOffDay,0)), IF('Copy of 2026'!WW_first_7=C40, COUNTIF(D41:H44,"="&amp;TEXT('Copy of 2026'!OnCallOffDay,0)), COUNTIF(D39:H42,"="&amp;TEXT('Copy of 2026'!OnCallOffDay,0))))
+ IF('Copy of 2026'!WW_first_7=C39,
IF(AND(MONTH(AH38)='Copy of 2026'!month_7, D39='Copy of 2026'!OnCallOffDay),1,0)+IF(AND(MONTH(AI38)='Copy of 2026'!month_7, E39='Copy of 2026'!OnCallOffDay),1,0)+IF(AND(MONTH(AJ38)='Copy of 2026'!month_7, F39='Copy of 2026'!OnCallOffDay),1,0)+IF(AND(MONTH(AK38)='Copy of 2026'!month_7, G39='Copy of 2026'!OnCallOffDay),1,0)+IF(AND(MONTH(AL38)='Copy of 2026'!month_7, H39='Copy of 2026'!OnCallOffDay),1,0)
+IF(AND(MONTH(AH43)='Copy of 2026'!month_7, D44='Copy of 2026'!OnCallOffDay),1,0)+IF(AND(MONTH(AI43)='Copy of 2026'!month_7, E44='Copy of 2026'!OnCallOffDay),1,0)+IF(AND(MONTH(AJ43)='Copy of 2026'!month_7, F44='Copy of 2026'!OnCallOffDay),1,0)+IF(AND(MONTH(AK43)='Copy of 2026'!month_7, G44='Copy of 2026'!OnCallOffDay),1,0)+IF(AND(MONTH(AL43)='Copy of 2026'!month_7, H44='Copy of 2026'!OnCallOffDay),1,0),
IF('Copy of 2026'!WW_first_7=C40,
IF(AND(MONTH(AH38)='Copy of 2026'!month_7, D40='Copy of 2026'!OnCallOffDay),1,0)+IF(AND(MONTH(AI38)='Copy of 2026'!month_7, E40='Copy of 2026'!OnCallOffDay),1,0)+IF(AND(MONTH(AJ38)='Copy of 2026'!month_7, F40='Copy of 2026'!OnCallOffDay),1,0)+IF(AND(MONTH(AK38)='Copy of 2026'!month_7, G40='Copy of 2026'!OnCallOffDay),1,0)+IF(AND(MONTH(AL38)='Copy of 2026'!month_7, H40='Copy of 2026'!OnCallOffDay),1,0)
+IF(AND(MONTH(AH43)='Copy of 2026'!month_7, D45='Copy of 2026'!OnCallOffDay),1,0)+IF(AND(MONTH(AI43)='Copy of 2026'!month_7, E45='Copy of 2026'!OnCallOffDay),1,0)+IF(AND(MONTH(AJ43)='Copy of 2026'!month_7, F45='Copy of 2026'!OnCallOffDay),1,0)+IF(AND(MONTH(AK43)='Copy of 2026'!month_7, G45='Copy of 2026'!OnCallOffDay),1,0)+IF(AND(MONTH(AL43)='Copy of 2026'!month_7, H45='Copy of 2026'!OnCallOffDay),1,0),
IF(AND(MONTH(AH38)='Copy of 2026'!month_7, D38='Copy of 2026'!OnCallOffDay),1,0)+IF(AND(MONTH(AI38)='Copy of 2026'!month_7, E38='Copy of 2026'!OnCallOffDay),1,0)+IF(AND(MONTH(AJ38)='Copy of 2026'!month_7, F38='Copy of 2026'!OnCallOffDay),1,0)+IF(AND(MONTH(AK38)='Copy of 2026'!month_7, G38='Copy of 2026'!OnCallOffDay),1,0)+IF(AND(MONTH(AL38)='Copy of 2026'!month_7, H38='Copy of 2026'!OnCallOffDay),1,0)
+IF(AND(MONTH(AH43)='Copy of 2026'!month_7, D43='Copy of 2026'!OnCallOffDay),1,0)+IF(AND(MONTH(AI43)='Copy of 2026'!month_7, E43='Copy of 2026'!OnCallOffDay),1,0)+IF(AND(MONTH(AJ43)='Copy of 2026'!month_7, F43='Copy of 2026'!OnCallOffDay),1,0)+IF(AND(MONTH(AK43)='Copy of 2026'!month_7, G43='Copy of 2026'!OnCallOffDay),1,0)+IF(AND(MONTH(AL43)='Copy of 2026'!month_7, H43='Copy of 2026'!OnCallOffDay),1,0)))</f>
        <v>#NAME?</v>
      </c>
      <c r="AF15" s="102"/>
      <c r="AG15" s="98" t="e">
        <f t="shared" ca="1" si="2"/>
        <v>#NAME?</v>
      </c>
      <c r="AH15" s="99"/>
      <c r="AI15" s="134" t="e">
        <f t="shared" ca="1" si="3"/>
        <v>#NAME?</v>
      </c>
      <c r="AJ15" s="99"/>
      <c r="AK15" s="100" t="str">
        <f ca="1">IFERROR(__xludf.DUMMYFUNCTION("if(AW15="""","""",IFERROR(SPARKLINE(AW15:AX15,{""charttype"",""bar"";""max"",1;""min"",0;""color1"",""#cbe5ed"";""color2"",""#f3f3f3""}),))"),"")</f>
        <v/>
      </c>
      <c r="AL15" s="101"/>
      <c r="AM15" s="101"/>
      <c r="AN15" s="101"/>
      <c r="AO15" s="101"/>
      <c r="AP15" s="101"/>
      <c r="AQ15" s="101"/>
      <c r="AR15" s="101"/>
      <c r="AS15" s="101"/>
      <c r="AT15" s="101"/>
      <c r="AU15" s="98" t="e">
        <f t="shared" ca="1" si="4"/>
        <v>#NAME?</v>
      </c>
      <c r="AV15" s="102"/>
      <c r="AW15" s="11" t="e">
        <f t="shared" ca="1" si="5"/>
        <v>#NAME?</v>
      </c>
      <c r="AX15" s="12" t="e">
        <f t="shared" ca="1" si="6"/>
        <v>#NAME?</v>
      </c>
    </row>
    <row r="16" spans="1:50" ht="18" customHeight="1">
      <c r="A16" s="3">
        <f t="shared" si="8"/>
        <v>5</v>
      </c>
      <c r="B16" s="23" t="s">
        <v>21</v>
      </c>
      <c r="C16" s="24" t="e">
        <f t="shared" ca="1" si="15"/>
        <v>#NAME?</v>
      </c>
      <c r="D16" s="25">
        <v>1</v>
      </c>
      <c r="E16" s="32">
        <v>1</v>
      </c>
      <c r="F16" s="33">
        <v>1</v>
      </c>
      <c r="G16" s="28">
        <v>1</v>
      </c>
      <c r="H16" s="34">
        <v>1</v>
      </c>
      <c r="I16" s="35"/>
      <c r="J16" s="35"/>
      <c r="K16" s="29" t="e">
        <f t="shared" si="9"/>
        <v>#REF!</v>
      </c>
      <c r="L16" s="29" t="e">
        <f t="shared" si="10"/>
        <v>#REF!</v>
      </c>
      <c r="M16" s="29" t="e">
        <f t="shared" si="11"/>
        <v>#REF!</v>
      </c>
      <c r="N16" s="30" t="e">
        <f t="shared" si="12"/>
        <v>#REF!</v>
      </c>
      <c r="O16" s="82" t="e">
        <f t="shared" si="13"/>
        <v>#REF!</v>
      </c>
      <c r="P16" s="82" t="e">
        <f t="shared" si="14"/>
        <v>#REF!</v>
      </c>
      <c r="Q16" s="94"/>
      <c r="R16" s="103" t="e">
        <f t="shared" ca="1" si="7"/>
        <v>#NAME?</v>
      </c>
      <c r="S16" s="104"/>
      <c r="T16" s="104"/>
      <c r="U16" s="135" t="e">
        <f t="shared" ca="1" si="0"/>
        <v>#NAME?</v>
      </c>
      <c r="V16" s="136"/>
      <c r="W16" s="137" t="e">
        <f ca="1">IF('Copy of 2026'!WW_first_8=C44, COUNTIF(D45:H48,"&gt;0"), IF('Copy of 2026'!WW_first_8=C45, COUNTIF(D46:H49,"&gt;0"), COUNTIF(D44:H47,"&gt;0")))
+ IF('Copy of 2026'!WW_first_8=C44,
IF(AND(MONTH(AP38)='Copy of 2026'!month_8, ISNUMBER(D44)),D44,0)+IF(AND(MONTH(AQ38)='Copy of 2026'!month_8, ISNUMBER(E44)),E44,0)+IF(AND(MONTH(AR38)='Copy of 2026'!month_8, ISNUMBER(F44)),F44,0)+IF(AND(MONTH(AS38)='Copy of 2026'!month_8, ISNUMBER(G44)),G44,0)+IF(AND(MONTH(AT38)='Copy of 2026'!month_8, ISNUMBER(H44)),H44,0)
+IF(AND(MONTH(AP43)='Copy of 2026'!month_8, ISNUMBER(D49)),D49,0)+IF(AND(MONTH(AQ43)='Copy of 2026'!month_8, ISNUMBER(E49)),E49,0)+IF(AND(MONTH(AR43)='Copy of 2026'!month_8, ISNUMBER(F49)),F49,0)+IF(AND(MONTH(AS43)='Copy of 2026'!month_8, ISNUMBER(G49)),G49,0)+IF(AND(MONTH(AT43)='Copy of 2026'!month_8, ISNUMBER(H49)),H49,0),
IF('Copy of 2026'!WW_first_8=C45,
IF(AND(MONTH(AP38)='Copy of 2026'!month_8, ISNUMBER(D45)),D45,0)+IF(AND(MONTH(AQ38)='Copy of 2026'!month_8, ISNUMBER(E45)),E45,0)+IF(AND(MONTH(AR38)='Copy of 2026'!month_8, ISNUMBER(F45)),F45,0)+IF(AND(MONTH(AS38)='Copy of 2026'!month_8, ISNUMBER(G45)),G45,0)+IF(AND(MONTH(AT38)='Copy of 2026'!month_8, ISNUMBER(H45)),H45,0)
+IF(AND(MONTH(AP43)='Copy of 2026'!month_8, ISNUMBER(D50)),D50,0)+IF(AND(MONTH(AQ43)='Copy of 2026'!month_8, ISNUMBER(E50)),E50,0)+IF(AND(MONTH(AR43)='Copy of 2026'!month_8, ISNUMBER(F50)),F50,0)+IF(AND(MONTH(AS43)='Copy of 2026'!month_8, ISNUMBER(G50)),G50,0)+IF(AND(MONTH(AT43)='Copy of 2026'!month_8, ISNUMBER(H50)),H50,0),
IF(AND(MONTH(AP38)='Copy of 2026'!month_8, ISNUMBER(D43)),D43,0)+IF(AND(MONTH(AQ38)='Copy of 2026'!month_8, ISNUMBER(E43)),E43,0)+IF(AND(MONTH(AR38)='Copy of 2026'!month_8, ISNUMBER(F43)),F43,0)+IF(AND(MONTH(AS38)='Copy of 2026'!month_8, ISNUMBER(G43)),G43,0)+IF(AND(MONTH(AT38)='Copy of 2026'!month_8, ISNUMBER(H43)),H43,0)
+IF(AND(MONTH(AP43)='Copy of 2026'!month_8, ISNUMBER(D48)),D48,0)+IF(AND(MONTH(AQ43)='Copy of 2026'!month_8, ISNUMBER(E48)),E48,0)+IF(AND(MONTH(AR43)='Copy of 2026'!month_8, ISNUMBER(F48)),F48,0)+IF(AND(MONTH(AS43)='Copy of 2026'!month_8, ISNUMBER(G48)),G48,0)+IF(AND(MONTH(AT43)='Copy of 2026'!month_8, ISNUMBER(H48)),H48,0)))</f>
        <v>#NAME?</v>
      </c>
      <c r="X16" s="99"/>
      <c r="Y16" s="106" t="e">
        <f t="shared" ca="1" si="1"/>
        <v>#NAME?</v>
      </c>
      <c r="Z16" s="102"/>
      <c r="AA16" s="105" t="e">
        <f ca="1">IF('Copy of 2026'!WW_first_8=C44, COUNTIF(D45:H48,"="&amp;TEXT('Copy of 2026'!VacationDay,0)), IF('Copy of 2026'!WW_first_8=C45, COUNTIF(D46:H49,"="&amp;TEXT('Copy of 2026'!VacationDay,0)), COUNTIF(D44:H47,"="&amp;TEXT('Copy of 2026'!VacationDay,0))))
+ IF('Copy of 2026'!WW_first_8=C44,
IF(AND(MONTH(AP38)='Copy of 2026'!month_8, D44='Copy of 2026'!VacationDay),1,0)+IF(AND(MONTH(AQ38)='Copy of 2026'!month_8, E44='Copy of 2026'!VacationDay),1,0)+IF(AND(MONTH(AR38)='Copy of 2026'!month_8, F44='Copy of 2026'!VacationDay),1,0)+IF(AND(MONTH(AS38)='Copy of 2026'!month_8, G44='Copy of 2026'!VacationDay),1,0)+IF(AND(MONTH(AT38)='Copy of 2026'!month_8, H44='Copy of 2026'!VacationDay),1,0)
+IF(AND(MONTH(AP43)='Copy of 2026'!month_8, D49='Copy of 2026'!VacationDay),1,0)+IF(AND(MONTH(AQ43)='Copy of 2026'!month_8, E49='Copy of 2026'!VacationDay),1,0)+IF(AND(MONTH(AR43)='Copy of 2026'!month_8, F49='Copy of 2026'!VacationDay),1,0)+IF(AND(MONTH(AS43)='Copy of 2026'!month_8, G49='Copy of 2026'!VacationDay),1,0)+IF(AND(MONTH(AT43)='Copy of 2026'!month_8, H49='Copy of 2026'!VacationDay),1,0),
IF('Copy of 2026'!WW_first_8=C45,
IF(AND(MONTH(AP38)='Copy of 2026'!month_8, D45='Copy of 2026'!VacationDay),1,0)+IF(AND(MONTH(AQ38)='Copy of 2026'!month_8, E45='Copy of 2026'!VacationDay),1,0)+IF(AND(MONTH(AR38)='Copy of 2026'!month_8, F45='Copy of 2026'!VacationDay),1,0)+IF(AND(MONTH(AS38)='Copy of 2026'!month_8, G45='Copy of 2026'!VacationDay),1,0)+IF(AND(MONTH(AT38)='Copy of 2026'!month_8, H45='Copy of 2026'!VacationDay),1,0)
+IF(AND(MONTH(AP43)='Copy of 2026'!month_8, D50='Copy of 2026'!VacationDay),1,0)+IF(AND(MONTH(AQ43)='Copy of 2026'!month_8, E50='Copy of 2026'!VacationDay),1,0)+IF(AND(MONTH(AR43)='Copy of 2026'!month_8, F50='Copy of 2026'!VacationDay),1,0)+IF(AND(MONTH(AS43)='Copy of 2026'!month_8, G50='Copy of 2026'!VacationDay),1,0)+IF(AND(MONTH(AT43)='Copy of 2026'!month_8, H50='Copy of 2026'!VacationDay),1,0),
IF(AND(MONTH(AP38)='Copy of 2026'!month_8, D43='Copy of 2026'!VacationDay),1,0)+IF(AND(MONTH(AQ38)='Copy of 2026'!month_8, E43='Copy of 2026'!VacationDay),1,0)+IF(AND(MONTH(AR38)='Copy of 2026'!month_8, F43='Copy of 2026'!VacationDay),1,0)+IF(AND(MONTH(AS38)='Copy of 2026'!month_8, G43='Copy of 2026'!VacationDay),1,0)+IF(AND(MONTH(AT38)='Copy of 2026'!month_8, H43='Copy of 2026'!VacationDay),1,0)
+IF(AND(MONTH(AP43)='Copy of 2026'!month_8, D48='Copy of 2026'!VacationDay),1,0)+IF(AND(MONTH(AQ43)='Copy of 2026'!month_8, E48='Copy of 2026'!VacationDay),1,0)+IF(AND(MONTH(AR43)='Copy of 2026'!month_8, F48='Copy of 2026'!VacationDay),1,0)+IF(AND(MONTH(AS43)='Copy of 2026'!month_8, G48='Copy of 2026'!VacationDay),1,0)+IF(AND(MONTH(AT43)='Copy of 2026'!month_8, H48='Copy of 2026'!VacationDay),1,0)))</f>
        <v>#NAME?</v>
      </c>
      <c r="AB16" s="101"/>
      <c r="AC16" s="106" t="e">
        <f ca="1">IF('Copy of 2026'!WW_first_8=C44, COUNTIF(D45:H48,"="&amp;TEXT('Copy of 2026'!HolidayDay,0)), IF('Copy of 2026'!WW_first_8=C45, COUNTIF(D46:H49,"="&amp;TEXT('Copy of 2026'!HolidayDay,0)), COUNTIF(D44:H47,"="&amp;TEXT('Copy of 2026'!HolidayDay,0))))
+ IF('Copy of 2026'!WW_first_8=C44,
IF(AND(MONTH(AP38)='Copy of 2026'!month_8, D44='Copy of 2026'!HolidayDay),1,0)+IF(AND(MONTH(AQ38)='Copy of 2026'!month_8, E44='Copy of 2026'!HolidayDay),1,0)+IF(AND(MONTH(AR38)='Copy of 2026'!month_8, F44='Copy of 2026'!HolidayDay),1,0)+IF(AND(MONTH(AS38)='Copy of 2026'!month_8, G44='Copy of 2026'!HolidayDay),1,0)+IF(AND(MONTH(AT38)='Copy of 2026'!month_8, H44='Copy of 2026'!HolidayDay),1,0)
+IF(AND(MONTH(AP43)='Copy of 2026'!month_8, D49='Copy of 2026'!HolidayDay),1,0)+IF(AND(MONTH(AQ43)='Copy of 2026'!month_8, E49='Copy of 2026'!HolidayDay),1,0)+IF(AND(MONTH(AR43)='Copy of 2026'!month_8, F49='Copy of 2026'!HolidayDay),1,0)+IF(AND(MONTH(AS43)='Copy of 2026'!month_8, G49='Copy of 2026'!HolidayDay),1,0)+IF(AND(MONTH(AT43)='Copy of 2026'!month_8, H49='Copy of 2026'!HolidayDay),1,0),
IF('Copy of 2026'!WW_first_8=C45,
IF(AND(MONTH(AP38)='Copy of 2026'!month_8, D45='Copy of 2026'!HolidayDay),1,0)+IF(AND(MONTH(AQ38)='Copy of 2026'!month_8, E45='Copy of 2026'!HolidayDay),1,0)+IF(AND(MONTH(AR38)='Copy of 2026'!month_8, F45='Copy of 2026'!HolidayDay),1,0)+IF(AND(MONTH(AS38)='Copy of 2026'!month_8, G45='Copy of 2026'!HolidayDay),1,0)+IF(AND(MONTH(AT38)='Copy of 2026'!month_8, H45='Copy of 2026'!HolidayDay),1,0)
+IF(AND(MONTH(AP43)='Copy of 2026'!month_8, D50='Copy of 2026'!HolidayDay),1,0)+IF(AND(MONTH(AQ43)='Copy of 2026'!month_8, E50='Copy of 2026'!HolidayDay),1,0)+IF(AND(MONTH(AR43)='Copy of 2026'!month_8, F50='Copy of 2026'!HolidayDay),1,0)+IF(AND(MONTH(AS43)='Copy of 2026'!month_8, G50='Copy of 2026'!HolidayDay),1,0)+IF(AND(MONTH(AT43)='Copy of 2026'!month_8, H50='Copy of 2026'!HolidayDay),1,0),
IF(AND(MONTH(AP38)='Copy of 2026'!month_8, D43='Copy of 2026'!HolidayDay),1,0)+IF(AND(MONTH(AQ38)='Copy of 2026'!month_8, E43='Copy of 2026'!HolidayDay),1,0)+IF(AND(MONTH(AR38)='Copy of 2026'!month_8, F43='Copy of 2026'!HolidayDay),1,0)+IF(AND(MONTH(AS38)='Copy of 2026'!month_8, G43='Copy of 2026'!HolidayDay),1,0)+IF(AND(MONTH(AT38)='Copy of 2026'!month_8, H43='Copy of 2026'!HolidayDay),1,0)
+IF(AND(MONTH(AP43)='Copy of 2026'!month_8, D48='Copy of 2026'!HolidayDay),1,0)+IF(AND(MONTH(AQ43)='Copy of 2026'!month_8, E48='Copy of 2026'!HolidayDay),1,0)+IF(AND(MONTH(AR43)='Copy of 2026'!month_8, F48='Copy of 2026'!HolidayDay),1,0)+IF(AND(MONTH(AS43)='Copy of 2026'!month_8, G48='Copy of 2026'!HolidayDay),1,0)+IF(AND(MONTH(AT43)='Copy of 2026'!month_8, H48='Copy of 2026'!HolidayDay),1,0)))</f>
        <v>#NAME?</v>
      </c>
      <c r="AD16" s="101"/>
      <c r="AE16" s="106" t="e">
        <f ca="1">IF('Copy of 2026'!WW_first_8=C44, COUNTIF(D45:H48,"="&amp;TEXT('Copy of 2026'!OnCallOffDay,0)), IF('Copy of 2026'!WW_first_8=C45, COUNTIF(D46:H49,"="&amp;TEXT('Copy of 2026'!OnCallOffDay,0)), COUNTIF(D44:H47,"="&amp;TEXT('Copy of 2026'!OnCallOffDay,0))))
+ IF('Copy of 2026'!WW_first_8=C44,
IF(AND(MONTH(AP38)='Copy of 2026'!month_8, D44='Copy of 2026'!OnCallOffDay),1,0)+IF(AND(MONTH(AQ38)='Copy of 2026'!month_8, E44='Copy of 2026'!OnCallOffDay),1,0)+IF(AND(MONTH(AR38)='Copy of 2026'!month_8, F44='Copy of 2026'!OnCallOffDay),1,0)+IF(AND(MONTH(AS38)='Copy of 2026'!month_8, G44='Copy of 2026'!OnCallOffDay),1,0)+IF(AND(MONTH(AT38)='Copy of 2026'!month_8, H44='Copy of 2026'!OnCallOffDay),1,0)
+IF(AND(MONTH(AP43)='Copy of 2026'!month_8, D49='Copy of 2026'!OnCallOffDay),1,0)+IF(AND(MONTH(AQ43)='Copy of 2026'!month_8, E49='Copy of 2026'!OnCallOffDay),1,0)+IF(AND(MONTH(AR43)='Copy of 2026'!month_8, F49='Copy of 2026'!OnCallOffDay),1,0)+IF(AND(MONTH(AS43)='Copy of 2026'!month_8, G49='Copy of 2026'!OnCallOffDay),1,0)+IF(AND(MONTH(AT43)='Copy of 2026'!month_8, H49='Copy of 2026'!OnCallOffDay),1,0),
IF('Copy of 2026'!WW_first_8=C45,
IF(AND(MONTH(AP38)='Copy of 2026'!month_8, D45='Copy of 2026'!OnCallOffDay),1,0)+IF(AND(MONTH(AQ38)='Copy of 2026'!month_8, E45='Copy of 2026'!OnCallOffDay),1,0)+IF(AND(MONTH(AR38)='Copy of 2026'!month_8, F45='Copy of 2026'!OnCallOffDay),1,0)+IF(AND(MONTH(AS38)='Copy of 2026'!month_8, G45='Copy of 2026'!OnCallOffDay),1,0)+IF(AND(MONTH(AT38)='Copy of 2026'!month_8, H45='Copy of 2026'!OnCallOffDay),1,0)
+IF(AND(MONTH(AP43)='Copy of 2026'!month_8, D50='Copy of 2026'!OnCallOffDay),1,0)+IF(AND(MONTH(AQ43)='Copy of 2026'!month_8, E50='Copy of 2026'!OnCallOffDay),1,0)+IF(AND(MONTH(AR43)='Copy of 2026'!month_8, F50='Copy of 2026'!OnCallOffDay),1,0)+IF(AND(MONTH(AS43)='Copy of 2026'!month_8, G50='Copy of 2026'!OnCallOffDay),1,0)+IF(AND(MONTH(AT43)='Copy of 2026'!month_8, H50='Copy of 2026'!OnCallOffDay),1,0),
IF(AND(MONTH(AP38)='Copy of 2026'!month_8, D43='Copy of 2026'!OnCallOffDay),1,0)+IF(AND(MONTH(AQ38)='Copy of 2026'!month_8, E43='Copy of 2026'!OnCallOffDay),1,0)+IF(AND(MONTH(AR38)='Copy of 2026'!month_8, F43='Copy of 2026'!OnCallOffDay),1,0)+IF(AND(MONTH(AS38)='Copy of 2026'!month_8, G43='Copy of 2026'!OnCallOffDay),1,0)+IF(AND(MONTH(AT38)='Copy of 2026'!month_8, H43='Copy of 2026'!OnCallOffDay),1,0)
+IF(AND(MONTH(AP43)='Copy of 2026'!month_8, D48='Copy of 2026'!OnCallOffDay),1,0)+IF(AND(MONTH(AQ43)='Copy of 2026'!month_8, E48='Copy of 2026'!OnCallOffDay),1,0)+IF(AND(MONTH(AR43)='Copy of 2026'!month_8, F48='Copy of 2026'!OnCallOffDay),1,0)+IF(AND(MONTH(AS43)='Copy of 2026'!month_8, G48='Copy of 2026'!OnCallOffDay),1,0)+IF(AND(MONTH(AT43)='Copy of 2026'!month_8, H48='Copy of 2026'!OnCallOffDay),1,0)))</f>
        <v>#NAME?</v>
      </c>
      <c r="AF16" s="102"/>
      <c r="AG16" s="98" t="e">
        <f t="shared" ca="1" si="2"/>
        <v>#NAME?</v>
      </c>
      <c r="AH16" s="99"/>
      <c r="AI16" s="134" t="e">
        <f t="shared" ca="1" si="3"/>
        <v>#NAME?</v>
      </c>
      <c r="AJ16" s="99"/>
      <c r="AK16" s="100" t="str">
        <f ca="1">IFERROR(__xludf.DUMMYFUNCTION("if(AW16="""","""",IFERROR(SPARKLINE(AW16:AX16,{""charttype"",""bar"";""max"",1;""min"",0;""color1"",""#cbe5ed"";""color2"",""#f3f3f3""}),))"),"")</f>
        <v/>
      </c>
      <c r="AL16" s="101"/>
      <c r="AM16" s="101"/>
      <c r="AN16" s="101"/>
      <c r="AO16" s="101"/>
      <c r="AP16" s="101"/>
      <c r="AQ16" s="101"/>
      <c r="AR16" s="101"/>
      <c r="AS16" s="101"/>
      <c r="AT16" s="101"/>
      <c r="AU16" s="98" t="e">
        <f t="shared" ca="1" si="4"/>
        <v>#NAME?</v>
      </c>
      <c r="AV16" s="102"/>
      <c r="AW16" s="11" t="e">
        <f t="shared" ca="1" si="5"/>
        <v>#NAME?</v>
      </c>
      <c r="AX16" s="12" t="e">
        <f t="shared" ca="1" si="6"/>
        <v>#NAME?</v>
      </c>
    </row>
    <row r="17" spans="1:50" ht="18" customHeight="1">
      <c r="A17" s="3">
        <f t="shared" si="8"/>
        <v>5</v>
      </c>
      <c r="B17" s="38" t="s">
        <v>21</v>
      </c>
      <c r="C17" s="39" t="e">
        <f t="shared" ca="1" si="15"/>
        <v>#NAME?</v>
      </c>
      <c r="D17" s="25">
        <v>1</v>
      </c>
      <c r="E17" s="32">
        <v>1</v>
      </c>
      <c r="F17" s="33">
        <v>1</v>
      </c>
      <c r="G17" s="28">
        <v>1</v>
      </c>
      <c r="H17" s="34">
        <v>1</v>
      </c>
      <c r="I17" s="2"/>
      <c r="J17" s="2"/>
      <c r="K17" s="29" t="e">
        <f t="shared" si="9"/>
        <v>#REF!</v>
      </c>
      <c r="L17" s="29" t="e">
        <f t="shared" si="10"/>
        <v>#REF!</v>
      </c>
      <c r="M17" s="29" t="e">
        <f t="shared" si="11"/>
        <v>#REF!</v>
      </c>
      <c r="N17" s="30" t="e">
        <f t="shared" si="12"/>
        <v>#REF!</v>
      </c>
      <c r="O17" s="82" t="e">
        <f t="shared" si="13"/>
        <v>#REF!</v>
      </c>
      <c r="P17" s="82" t="e">
        <f t="shared" si="14"/>
        <v>#REF!</v>
      </c>
      <c r="Q17" s="94"/>
      <c r="R17" s="103" t="e">
        <f t="shared" ca="1" si="7"/>
        <v>#NAME?</v>
      </c>
      <c r="S17" s="104"/>
      <c r="T17" s="104"/>
      <c r="U17" s="135" t="e">
        <f t="shared" ca="1" si="0"/>
        <v>#NAME?</v>
      </c>
      <c r="V17" s="136"/>
      <c r="W17" s="137" t="e">
        <f ca="1">IF('Copy of 2026'!WW_first_9=C48, COUNTIF(D49:H52,"&gt;0"), IF('Copy of 2026'!WW_first_9=C49, COUNTIF(D50:H53,"&gt;0"), COUNTIF(D48:H51,"&gt;0")))
+ IF('Copy of 2026'!WW_first_9=C48,
IF(AND(MONTH(R49)='Copy of 2026'!month_9, ISNUMBER(D48)),D48,0)+IF(AND(MONTH(S49)='Copy of 2026'!month_9, ISNUMBER(E48)),E48,0)+IF(AND(MONTH(T49)='Copy of 2026'!month_9, ISNUMBER(F48)),F48,0)+IF(AND(MONTH(U49)='Copy of 2026'!month_9, ISNUMBER(G48)),G48,0)+IF(AND(MONTH(V49)='Copy of 2026'!month_9, ISNUMBER(H48)),H48,0)
+IF(AND(MONTH(R54)='Copy of 2026'!month_9, ISNUMBER(D53)),D53,0)+IF(AND(MONTH(S54)='Copy of 2026'!month_9, ISNUMBER(E53)),E53,0)+IF(AND(MONTH(T54)='Copy of 2026'!month_9, ISNUMBER(F53)),F53,0)+IF(AND(MONTH(U54)='Copy of 2026'!month_9, ISNUMBER(G53)),G53,0)+IF(AND(MONTH(V54)='Copy of 2026'!month_9, ISNUMBER(H53)),H53,0),
IF('Copy of 2026'!WW_first_9=C49,
IF(AND(MONTH(R49)='Copy of 2026'!month_9, ISNUMBER(D49)),D49,0)+IF(AND(MONTH(S49)='Copy of 2026'!month_9, ISNUMBER(E49)),E49,0)+IF(AND(MONTH(T49)='Copy of 2026'!month_9, ISNUMBER(F49)),F49,0)+IF(AND(MONTH(U49)='Copy of 2026'!month_9, ISNUMBER(G49)),G49,0)+IF(AND(MONTH(V49)='Copy of 2026'!month_9, ISNUMBER(H49)),H49,0)
+IF(AND(MONTH(R54)='Copy of 2026'!month_9, ISNUMBER(D54)),D54,0)+IF(AND(MONTH(S54)='Copy of 2026'!month_9, ISNUMBER(E54)),E54,0)+IF(AND(MONTH(T54)='Copy of 2026'!month_9, ISNUMBER(F54)),F54,0)+IF(AND(MONTH(U54)='Copy of 2026'!month_9, ISNUMBER(G54)),G54,0)+IF(AND(MONTH(V54)='Copy of 2026'!month_9, ISNUMBER(H54)),H54,0),
IF(AND(MONTH(R49)='Copy of 2026'!month_9, ISNUMBER(D47)),D47,0)+IF(AND(MONTH(S49)='Copy of 2026'!month_9, ISNUMBER(E47)),E47,0)+IF(AND(MONTH(T49)='Copy of 2026'!month_9, ISNUMBER(F47)),F47,0)+IF(AND(MONTH(U49)='Copy of 2026'!month_9, ISNUMBER(G47)),G47,0)+IF(AND(MONTH(V49)='Copy of 2026'!month_9, ISNUMBER(H47)),H47,0)
+IF(AND(MONTH(R54)='Copy of 2026'!month_9, ISNUMBER(D52)),D52,0)+IF(AND(MONTH(S54)='Copy of 2026'!month_9, ISNUMBER(E52)),E52,0)+IF(AND(MONTH(T54)='Copy of 2026'!month_9, ISNUMBER(F52)),F52,0)+IF(AND(MONTH(U54)='Copy of 2026'!month_9, ISNUMBER(G52)),G52,0)+IF(AND(MONTH(V54)='Copy of 2026'!month_9, ISNUMBER(H52)),H52,0)))</f>
        <v>#NAME?</v>
      </c>
      <c r="X17" s="99"/>
      <c r="Y17" s="106" t="e">
        <f t="shared" ca="1" si="1"/>
        <v>#NAME?</v>
      </c>
      <c r="Z17" s="102"/>
      <c r="AA17" s="105" t="e">
        <f ca="1">IF('Copy of 2026'!WW_first_9=C48, COUNTIF(D49:H52,"="&amp;TEXT('Copy of 2026'!VacationDay,0)), IF('Copy of 2026'!WW_first_9=C49, COUNTIF(D50:H53,"="&amp;TEXT('Copy of 2026'!VacationDay,0)), COUNTIF(D48:H51,"="&amp;TEXT('Copy of 2026'!VacationDay,0))))
+ IF('Copy of 2026'!WW_first_9=C48,
IF(AND(MONTH(R49)='Copy of 2026'!month_9, D48='Copy of 2026'!VacationDay),1,0)+IF(AND(MONTH(S49)='Copy of 2026'!month_9, E48='Copy of 2026'!VacationDay),1,0)+IF(AND(MONTH(T49)='Copy of 2026'!month_9, F48='Copy of 2026'!VacationDay),1,0)+IF(AND(MONTH(U49)='Copy of 2026'!month_9, G48='Copy of 2026'!VacationDay),1,0)+IF(AND(MONTH(V49)='Copy of 2026'!month_9, H48='Copy of 2026'!VacationDay),1,0)
+IF(AND(MONTH(R54)='Copy of 2026'!month_9, D53='Copy of 2026'!VacationDay),1,0)+IF(AND(MONTH(S54)='Copy of 2026'!month_9, E53='Copy of 2026'!VacationDay),1,0)+IF(AND(MONTH(T54)='Copy of 2026'!month_9, F53='Copy of 2026'!VacationDay),1,0)+IF(AND(MONTH(U54)='Copy of 2026'!month_9, G53='Copy of 2026'!VacationDay),1,0)+IF(AND(MONTH(V54)='Copy of 2026'!month_9, H53='Copy of 2026'!VacationDay),1,0),
IF('Copy of 2026'!WW_first_9=C49,
IF(AND(MONTH(R49)='Copy of 2026'!month_9, D49='Copy of 2026'!VacationDay),1,0)+IF(AND(MONTH(S49)='Copy of 2026'!month_9, E49='Copy of 2026'!VacationDay),1,0)+IF(AND(MONTH(T49)='Copy of 2026'!month_9, F49='Copy of 2026'!VacationDay),1,0)+IF(AND(MONTH(U49)='Copy of 2026'!month_9, G49='Copy of 2026'!VacationDay),1,0)+IF(AND(MONTH(V49)='Copy of 2026'!month_9, H49='Copy of 2026'!VacationDay),1,0)
+IF(AND(MONTH(R54)='Copy of 2026'!month_9, D54='Copy of 2026'!VacationDay),1,0)+IF(AND(MONTH(S54)='Copy of 2026'!month_9, E54='Copy of 2026'!VacationDay),1,0)+IF(AND(MONTH(T54)='Copy of 2026'!month_9, F54='Copy of 2026'!VacationDay),1,0)+IF(AND(MONTH(U54)='Copy of 2026'!month_9, G54='Copy of 2026'!VacationDay),1,0)+IF(AND(MONTH(V54)='Copy of 2026'!month_9, H54='Copy of 2026'!VacationDay),1,0),
IF(AND(MONTH(R49)='Copy of 2026'!month_9, D47='Copy of 2026'!VacationDay),1,0)+IF(AND(MONTH(S49)='Copy of 2026'!month_9, E47='Copy of 2026'!VacationDay),1,0)+IF(AND(MONTH(T49)='Copy of 2026'!month_9, F47='Copy of 2026'!VacationDay),1,0)+IF(AND(MONTH(U49)='Copy of 2026'!month_9, G47='Copy of 2026'!VacationDay),1,0)+IF(AND(MONTH(V49)='Copy of 2026'!month_9, H47='Copy of 2026'!VacationDay),1,0)
+IF(AND(MONTH(R54)='Copy of 2026'!month_9, D52='Copy of 2026'!VacationDay),1,0)+IF(AND(MONTH(S54)='Copy of 2026'!month_9, E52='Copy of 2026'!VacationDay),1,0)+IF(AND(MONTH(T54)='Copy of 2026'!month_9, F52='Copy of 2026'!VacationDay),1,0)+IF(AND(MONTH(U54)='Copy of 2026'!month_9, G52='Copy of 2026'!VacationDay),1,0)+IF(AND(MONTH(V54)='Copy of 2026'!month_9, H52='Copy of 2026'!VacationDay),1,0)))</f>
        <v>#NAME?</v>
      </c>
      <c r="AB17" s="101"/>
      <c r="AC17" s="106" t="e">
        <f ca="1">IF('Copy of 2026'!WW_first_9=C48, COUNTIF(D49:H52,"="&amp;TEXT('Copy of 2026'!HolidayDay,0)), IF('Copy of 2026'!WW_first_9=C49, COUNTIF(D50:H53,"="&amp;TEXT('Copy of 2026'!HolidayDay,0)), COUNTIF(D48:H51,"="&amp;TEXT('Copy of 2026'!HolidayDay,0))))
+ IF('Copy of 2026'!WW_first_9=C48,
IF(AND(MONTH(R49)='Copy of 2026'!month_9, D48='Copy of 2026'!HolidayDay),1,0)+IF(AND(MONTH(S49)='Copy of 2026'!month_9, E48='Copy of 2026'!HolidayDay),1,0)+IF(AND(MONTH(T49)='Copy of 2026'!month_9, F48='Copy of 2026'!HolidayDay),1,0)+IF(AND(MONTH(U49)='Copy of 2026'!month_9, G48='Copy of 2026'!HolidayDay),1,0)+IF(AND(MONTH(V49)='Copy of 2026'!month_9, H48='Copy of 2026'!HolidayDay),1,0)
+IF(AND(MONTH(R54)='Copy of 2026'!month_9, D53='Copy of 2026'!HolidayDay),1,0)+IF(AND(MONTH(S54)='Copy of 2026'!month_9, E53='Copy of 2026'!HolidayDay),1,0)+IF(AND(MONTH(T54)='Copy of 2026'!month_9, F53='Copy of 2026'!HolidayDay),1,0)+IF(AND(MONTH(U54)='Copy of 2026'!month_9, G53='Copy of 2026'!HolidayDay),1,0)+IF(AND(MONTH(V54)='Copy of 2026'!month_9, H53='Copy of 2026'!HolidayDay),1,0),
IF('Copy of 2026'!WW_first_9=C49,
IF(AND(MONTH(R49)='Copy of 2026'!month_9, D49='Copy of 2026'!HolidayDay),1,0)+IF(AND(MONTH(S49)='Copy of 2026'!month_9, E49='Copy of 2026'!HolidayDay),1,0)+IF(AND(MONTH(T49)='Copy of 2026'!month_9, F49='Copy of 2026'!HolidayDay),1,0)+IF(AND(MONTH(U49)='Copy of 2026'!month_9, G49='Copy of 2026'!HolidayDay),1,0)+IF(AND(MONTH(V49)='Copy of 2026'!month_9, H49='Copy of 2026'!HolidayDay),1,0)
+IF(AND(MONTH(R54)='Copy of 2026'!month_9, D54='Copy of 2026'!HolidayDay),1,0)+IF(AND(MONTH(S54)='Copy of 2026'!month_9, E54='Copy of 2026'!HolidayDay),1,0)+IF(AND(MONTH(T54)='Copy of 2026'!month_9, F54='Copy of 2026'!HolidayDay),1,0)+IF(AND(MONTH(U54)='Copy of 2026'!month_9, G54='Copy of 2026'!HolidayDay),1,0)+IF(AND(MONTH(V54)='Copy of 2026'!month_9, H54='Copy of 2026'!HolidayDay),1,0),
IF(AND(MONTH(R49)='Copy of 2026'!month_9, D47='Copy of 2026'!HolidayDay),1,0)+IF(AND(MONTH(S49)='Copy of 2026'!month_9, E47='Copy of 2026'!HolidayDay),1,0)+IF(AND(MONTH(T49)='Copy of 2026'!month_9, F47='Copy of 2026'!HolidayDay),1,0)+IF(AND(MONTH(U49)='Copy of 2026'!month_9, G47='Copy of 2026'!HolidayDay),1,0)+IF(AND(MONTH(V49)='Copy of 2026'!month_9, H47='Copy of 2026'!HolidayDay),1,0)
+IF(AND(MONTH(R54)='Copy of 2026'!month_9, D52='Copy of 2026'!HolidayDay),1,0)+IF(AND(MONTH(S54)='Copy of 2026'!month_9, E52='Copy of 2026'!HolidayDay),1,0)+IF(AND(MONTH(T54)='Copy of 2026'!month_9, F52='Copy of 2026'!HolidayDay),1,0)+IF(AND(MONTH(U54)='Copy of 2026'!month_9, G52='Copy of 2026'!HolidayDay),1,0)+IF(AND(MONTH(V54)='Copy of 2026'!month_9, H52='Copy of 2026'!HolidayDay),1,0)))</f>
        <v>#NAME?</v>
      </c>
      <c r="AD17" s="101"/>
      <c r="AE17" s="106" t="e">
        <f ca="1">IF('Copy of 2026'!WW_first_9=C48, COUNTIF(D49:H52,"="&amp;TEXT('Copy of 2026'!OnCallOffDay,0)), IF('Copy of 2026'!WW_first_9=C49, COUNTIF(D50:H53,"="&amp;TEXT('Copy of 2026'!OnCallOffDay,0)), COUNTIF(D48:H51,"="&amp;TEXT('Copy of 2026'!OnCallOffDay,0))))
+ IF('Copy of 2026'!WW_first_9=C48,
IF(AND(MONTH(R49)='Copy of 2026'!month_9, D48='Copy of 2026'!OnCallOffDay),1,0)+IF(AND(MONTH(S49)='Copy of 2026'!month_9, E48='Copy of 2026'!OnCallOffDay),1,0)+IF(AND(MONTH(T49)='Copy of 2026'!month_9, F48='Copy of 2026'!OnCallOffDay),1,0)+IF(AND(MONTH(U49)='Copy of 2026'!month_9, G48='Copy of 2026'!OnCallOffDay),1,0)+IF(AND(MONTH(V49)='Copy of 2026'!month_9, H48='Copy of 2026'!OnCallOffDay),1,0)
+IF(AND(MONTH(R54)='Copy of 2026'!month_9, D53='Copy of 2026'!OnCallOffDay),1,0)+IF(AND(MONTH(S54)='Copy of 2026'!month_9, E53='Copy of 2026'!OnCallOffDay),1,0)+IF(AND(MONTH(T54)='Copy of 2026'!month_9, F53='Copy of 2026'!OnCallOffDay),1,0)+IF(AND(MONTH(U54)='Copy of 2026'!month_9, G53='Copy of 2026'!OnCallOffDay),1,0)+IF(AND(MONTH(V54)='Copy of 2026'!month_9, H53='Copy of 2026'!OnCallOffDay),1,0),
IF('Copy of 2026'!WW_first_9=C49,
IF(AND(MONTH(R49)='Copy of 2026'!month_9, D49='Copy of 2026'!OnCallOffDay),1,0)+IF(AND(MONTH(S49)='Copy of 2026'!month_9, E49='Copy of 2026'!OnCallOffDay),1,0)+IF(AND(MONTH(T49)='Copy of 2026'!month_9, F49='Copy of 2026'!OnCallOffDay),1,0)+IF(AND(MONTH(U49)='Copy of 2026'!month_9, G49='Copy of 2026'!OnCallOffDay),1,0)+IF(AND(MONTH(V49)='Copy of 2026'!month_9, H49='Copy of 2026'!OnCallOffDay),1,0)
+IF(AND(MONTH(R54)='Copy of 2026'!month_9, D54='Copy of 2026'!OnCallOffDay),1,0)+IF(AND(MONTH(S54)='Copy of 2026'!month_9, E54='Copy of 2026'!OnCallOffDay),1,0)+IF(AND(MONTH(T54)='Copy of 2026'!month_9, F54='Copy of 2026'!OnCallOffDay),1,0)+IF(AND(MONTH(U54)='Copy of 2026'!month_9, G54='Copy of 2026'!OnCallOffDay),1,0)+IF(AND(MONTH(V54)='Copy of 2026'!month_9, H54='Copy of 2026'!OnCallOffDay),1,0),
IF(AND(MONTH(R49)='Copy of 2026'!month_9, D47='Copy of 2026'!OnCallOffDay),1,0)+IF(AND(MONTH(S49)='Copy of 2026'!month_9, E47='Copy of 2026'!OnCallOffDay),1,0)+IF(AND(MONTH(T49)='Copy of 2026'!month_9, F47='Copy of 2026'!OnCallOffDay),1,0)+IF(AND(MONTH(U49)='Copy of 2026'!month_9, G47='Copy of 2026'!OnCallOffDay),1,0)+IF(AND(MONTH(V49)='Copy of 2026'!month_9, H47='Copy of 2026'!OnCallOffDay),1,0)
+IF(AND(MONTH(R54)='Copy of 2026'!month_9, D52='Copy of 2026'!OnCallOffDay),1,0)+IF(AND(MONTH(S54)='Copy of 2026'!month_9, E52='Copy of 2026'!OnCallOffDay),1,0)+IF(AND(MONTH(T54)='Copy of 2026'!month_9, F52='Copy of 2026'!OnCallOffDay),1,0)+IF(AND(MONTH(U54)='Copy of 2026'!month_9, G52='Copy of 2026'!OnCallOffDay),1,0)+IF(AND(MONTH(V54)='Copy of 2026'!month_9, H52='Copy of 2026'!OnCallOffDay),1,0)))</f>
        <v>#NAME?</v>
      </c>
      <c r="AF17" s="102"/>
      <c r="AG17" s="98" t="e">
        <f t="shared" ca="1" si="2"/>
        <v>#NAME?</v>
      </c>
      <c r="AH17" s="99"/>
      <c r="AI17" s="134" t="e">
        <f t="shared" ca="1" si="3"/>
        <v>#NAME?</v>
      </c>
      <c r="AJ17" s="99"/>
      <c r="AK17" s="100" t="str">
        <f ca="1">IFERROR(__xludf.DUMMYFUNCTION("if(AW17="""","""",IFERROR(SPARKLINE(AW17:AX17,{""charttype"",""bar"";""max"",1;""min"",0;""color1"",""#cbe5ed"";""color2"",""#f3f3f3""}),))"),"")</f>
        <v/>
      </c>
      <c r="AL17" s="101"/>
      <c r="AM17" s="101"/>
      <c r="AN17" s="101"/>
      <c r="AO17" s="101"/>
      <c r="AP17" s="101"/>
      <c r="AQ17" s="101"/>
      <c r="AR17" s="101"/>
      <c r="AS17" s="101"/>
      <c r="AT17" s="101"/>
      <c r="AU17" s="98" t="e">
        <f t="shared" ca="1" si="4"/>
        <v>#NAME?</v>
      </c>
      <c r="AV17" s="102"/>
      <c r="AW17" s="11" t="e">
        <f t="shared" ca="1" si="5"/>
        <v>#NAME?</v>
      </c>
      <c r="AX17" s="12" t="e">
        <f t="shared" ca="1" si="6"/>
        <v>#NAME?</v>
      </c>
    </row>
    <row r="18" spans="1:50" ht="18" customHeight="1">
      <c r="A18" s="3">
        <f t="shared" si="8"/>
        <v>3</v>
      </c>
      <c r="B18" s="23" t="s">
        <v>21</v>
      </c>
      <c r="C18" s="24" t="e">
        <f t="shared" ca="1" si="15"/>
        <v>#NAME?</v>
      </c>
      <c r="D18" s="25">
        <v>1</v>
      </c>
      <c r="E18" s="32">
        <v>1</v>
      </c>
      <c r="F18" s="33">
        <v>1</v>
      </c>
      <c r="G18" s="28"/>
      <c r="H18" s="34"/>
      <c r="I18" s="2"/>
      <c r="J18" s="2"/>
      <c r="K18" s="29" t="e">
        <f t="shared" si="9"/>
        <v>#REF!</v>
      </c>
      <c r="L18" s="29" t="e">
        <f t="shared" si="10"/>
        <v>#REF!</v>
      </c>
      <c r="M18" s="29" t="e">
        <f t="shared" si="11"/>
        <v>#REF!</v>
      </c>
      <c r="N18" s="30" t="e">
        <f t="shared" si="12"/>
        <v>#REF!</v>
      </c>
      <c r="O18" s="82" t="e">
        <f t="shared" si="13"/>
        <v>#REF!</v>
      </c>
      <c r="P18" s="82" t="e">
        <f t="shared" si="14"/>
        <v>#REF!</v>
      </c>
      <c r="Q18" s="94"/>
      <c r="R18" s="103" t="e">
        <f t="shared" ca="1" si="7"/>
        <v>#NAME?</v>
      </c>
      <c r="S18" s="104"/>
      <c r="T18" s="104"/>
      <c r="U18" s="135" t="e">
        <f t="shared" ca="1" si="0"/>
        <v>#NAME?</v>
      </c>
      <c r="V18" s="136"/>
      <c r="W18" s="137" t="e">
        <f ca="1">IF('Copy of 2026'!WW_first_10=C53, COUNTIF(D54:H57,"&gt;0"), IF('Copy of 2026'!WW_first_10=C54, COUNTIF(D55:H58,"&gt;0"), COUNTIF(D53:H56,"&gt;0")))
+ IF('Copy of 2026'!WW_first_10=C53,
IF(AND(MONTH(Z49)='Copy of 2026'!month_10, ISNUMBER(D53)),D53,0)+IF(AND(MONTH(AA49)='Copy of 2026'!month_10, ISNUMBER(E53)),E53,0)+IF(AND(MONTH(AB49)='Copy of 2026'!month_10, ISNUMBER(F53)),F53,0)+IF(AND(MONTH(AC49)='Copy of 2026'!month_10, ISNUMBER(G53)),G53,0)+IF(AND(MONTH(AD49)='Copy of 2026'!month_10, ISNUMBER(H53)),H53,0)
+IF(AND(MONTH(Z54)='Copy of 2026'!month_10, ISNUMBER(D58)),D58,0)+IF(AND(MONTH(AA54)='Copy of 2026'!month_10, ISNUMBER(E58)),E58,0)+IF(AND(MONTH(AB54)='Copy of 2026'!month_10, ISNUMBER(F58)),F58,0)+IF(AND(MONTH(AC54)='Copy of 2026'!month_10, ISNUMBER(G58)),G58,0)+IF(AND(MONTH(AD54)='Copy of 2026'!month_10, ISNUMBER(H58)),H58,0),
IF('Copy of 2026'!WW_first_10=C54,
IF(AND(MONTH(Z49)='Copy of 2026'!month_10, ISNUMBER(D54)),D54,0)+IF(AND(MONTH(AA49)='Copy of 2026'!month_10, ISNUMBER(E54)),E54,0)+IF(AND(MONTH(AB49)='Copy of 2026'!month_10, ISNUMBER(F54)),F54,0)+IF(AND(MONTH(AC49)='Copy of 2026'!month_10, ISNUMBER(G54)),G54,0)+IF(AND(MONTH(AD49)='Copy of 2026'!month_10, ISNUMBER(H54)),H54,0)
+IF(AND(MONTH(Z54)='Copy of 2026'!month_10, ISNUMBER(D59)),D59,0)+IF(AND(MONTH(AA54)='Copy of 2026'!month_10, ISNUMBER(E59)),E59,0)+IF(AND(MONTH(AB54)='Copy of 2026'!month_10, ISNUMBER(F59)),F59,0)+IF(AND(MONTH(AC54)='Copy of 2026'!month_10, ISNUMBER(G59)),G59,0)+IF(AND(MONTH(AD54)='Copy of 2026'!month_10, ISNUMBER(H59)),H59,0),
IF(AND(MONTH(Z49)='Copy of 2026'!month_10, ISNUMBER(D52)),D52,0)+IF(AND(MONTH(AA49)='Copy of 2026'!month_10, ISNUMBER(E52)),E52,0)+IF(AND(MONTH(AB49)='Copy of 2026'!month_10, ISNUMBER(F52)),F52,0)+IF(AND(MONTH(AC49)='Copy of 2026'!month_10, ISNUMBER(G52)),G52,0)+IF(AND(MONTH(AD49)='Copy of 2026'!month_10, ISNUMBER(H52)),H52,0)
+IF(AND(MONTH(Z54)='Copy of 2026'!month_10, ISNUMBER(D57)),D57,0)+IF(AND(MONTH(AA54)='Copy of 2026'!month_10, ISNUMBER(E57)),E57,0)+IF(AND(MONTH(AB54)='Copy of 2026'!month_10, ISNUMBER(F57)),F57,0)+IF(AND(MONTH(AC54)='Copy of 2026'!month_10, ISNUMBER(G57)),G57,0)+IF(AND(MONTH(AD54)='Copy of 2026'!month_10, ISNUMBER(H57)),H57,0)))</f>
        <v>#NAME?</v>
      </c>
      <c r="X18" s="99"/>
      <c r="Y18" s="106" t="e">
        <f t="shared" ca="1" si="1"/>
        <v>#NAME?</v>
      </c>
      <c r="Z18" s="102"/>
      <c r="AA18" s="105" t="e">
        <f ca="1">IF('Copy of 2026'!WW_first_10=C53, COUNTIF(D54:H57,"="&amp;TEXT('Copy of 2026'!VacationDay,0)), IF('Copy of 2026'!WW_first_10=C54, COUNTIF(D55:H58,"="&amp;TEXT('Copy of 2026'!VacationDay,0)), COUNTIF(D53:H56,"="&amp;TEXT('Copy of 2026'!VacationDay,0))))
+ IF('Copy of 2026'!WW_first_10=C53,
IF(AND(MONTH(Z49)='Copy of 2026'!month_10, D53='Copy of 2026'!VacationDay),1,0)+IF(AND(MONTH(AA49)='Copy of 2026'!month_10, E53='Copy of 2026'!VacationDay),1,0)+IF(AND(MONTH(AB49)='Copy of 2026'!month_10, F53='Copy of 2026'!VacationDay),1,0)+IF(AND(MONTH(AC49)='Copy of 2026'!month_10, G53='Copy of 2026'!VacationDay),1,0)+IF(AND(MONTH(AD49)='Copy of 2026'!month_10, H53='Copy of 2026'!VacationDay),1,0)
+IF(AND(MONTH(Z54)='Copy of 2026'!month_10, D58='Copy of 2026'!VacationDay),1,0)+IF(AND(MONTH(AA54)='Copy of 2026'!month_10, E58='Copy of 2026'!VacationDay),1,0)+IF(AND(MONTH(AB54)='Copy of 2026'!month_10, F58='Copy of 2026'!VacationDay),1,0)+IF(AND(MONTH(AC54)='Copy of 2026'!month_10, G58='Copy of 2026'!VacationDay),1,0)+IF(AND(MONTH(AD54)='Copy of 2026'!month_10, H58='Copy of 2026'!VacationDay),1,0),
IF('Copy of 2026'!WW_first_10=C54,
IF(AND(MONTH(Z49)='Copy of 2026'!month_10, D54='Copy of 2026'!VacationDay),1,0)+IF(AND(MONTH(AA49)='Copy of 2026'!month_10, E54='Copy of 2026'!VacationDay),1,0)+IF(AND(MONTH(AB49)='Copy of 2026'!month_10, F54='Copy of 2026'!VacationDay),1,0)+IF(AND(MONTH(AC49)='Copy of 2026'!month_10, G54='Copy of 2026'!VacationDay),1,0)+IF(AND(MONTH(AD49)='Copy of 2026'!month_10, H54='Copy of 2026'!VacationDay),1,0)
+IF(AND(MONTH(Z54)='Copy of 2026'!month_10, D59='Copy of 2026'!VacationDay),1,0)+IF(AND(MONTH(AA54)='Copy of 2026'!month_10, E59='Copy of 2026'!VacationDay),1,0)+IF(AND(MONTH(AB54)='Copy of 2026'!month_10, F59='Copy of 2026'!VacationDay),1,0)+IF(AND(MONTH(AC54)='Copy of 2026'!month_10, G59='Copy of 2026'!VacationDay),1,0)+IF(AND(MONTH(AD54)='Copy of 2026'!month_10, H59='Copy of 2026'!VacationDay),1,0),
IF(AND(MONTH(Z49)='Copy of 2026'!month_10, D52='Copy of 2026'!VacationDay),1,0)+IF(AND(MONTH(AA49)='Copy of 2026'!month_10, E52='Copy of 2026'!VacationDay),1,0)+IF(AND(MONTH(AB49)='Copy of 2026'!month_10, F52='Copy of 2026'!VacationDay),1,0)+IF(AND(MONTH(AC49)='Copy of 2026'!month_10, G52='Copy of 2026'!VacationDay),1,0)+IF(AND(MONTH(AD49)='Copy of 2026'!month_10, H52='Copy of 2026'!VacationDay),1,0)
+IF(AND(MONTH(Z54)='Copy of 2026'!month_10, D57='Copy of 2026'!VacationDay),1,0)+IF(AND(MONTH(AA54)='Copy of 2026'!month_10, E57='Copy of 2026'!VacationDay),1,0)+IF(AND(MONTH(AB54)='Copy of 2026'!month_10, F57='Copy of 2026'!VacationDay),1,0)+IF(AND(MONTH(AC54)='Copy of 2026'!month_10, G57='Copy of 2026'!VacationDay),1,0)+IF(AND(MONTH(AD54)='Copy of 2026'!month_10, H57='Copy of 2026'!VacationDay),1,0)))</f>
        <v>#NAME?</v>
      </c>
      <c r="AB18" s="101"/>
      <c r="AC18" s="106" t="e">
        <f ca="1">IF('Copy of 2026'!WW_first_10=C53, COUNTIF(D54:H57,"="&amp;TEXT('Copy of 2026'!HolidayDay,0)), IF('Copy of 2026'!WW_first_10=C54, COUNTIF(D55:H58,"="&amp;TEXT('Copy of 2026'!HolidayDay,0)), COUNTIF(D53:H56,"="&amp;TEXT('Copy of 2026'!HolidayDay,0))))
+ IF('Copy of 2026'!WW_first_10=C53,
IF(AND(MONTH(Z49)='Copy of 2026'!month_10, D53='Copy of 2026'!HolidayDay),1,0)+IF(AND(MONTH(AA49)='Copy of 2026'!month_10, E53='Copy of 2026'!HolidayDay),1,0)+IF(AND(MONTH(AB49)='Copy of 2026'!month_10, F53='Copy of 2026'!HolidayDay),1,0)+IF(AND(MONTH(AC49)='Copy of 2026'!month_10, G53='Copy of 2026'!HolidayDay),1,0)+IF(AND(MONTH(AD49)='Copy of 2026'!month_10, H53='Copy of 2026'!HolidayDay),1,0)
+IF(AND(MONTH(Z54)='Copy of 2026'!month_10, D58='Copy of 2026'!HolidayDay),1,0)+IF(AND(MONTH(AA54)='Copy of 2026'!month_10, E58='Copy of 2026'!HolidayDay),1,0)+IF(AND(MONTH(AB54)='Copy of 2026'!month_10, F58='Copy of 2026'!HolidayDay),1,0)+IF(AND(MONTH(AC54)='Copy of 2026'!month_10, G58='Copy of 2026'!HolidayDay),1,0)+IF(AND(MONTH(AD54)='Copy of 2026'!month_10, H58='Copy of 2026'!HolidayDay),1,0),
IF('Copy of 2026'!WW_first_10=C54,
IF(AND(MONTH(Z49)='Copy of 2026'!month_10, D54='Copy of 2026'!HolidayDay),1,0)+IF(AND(MONTH(AA49)='Copy of 2026'!month_10, E54='Copy of 2026'!HolidayDay),1,0)+IF(AND(MONTH(AB49)='Copy of 2026'!month_10, F54='Copy of 2026'!HolidayDay),1,0)+IF(AND(MONTH(AC49)='Copy of 2026'!month_10, G54='Copy of 2026'!HolidayDay),1,0)+IF(AND(MONTH(AD49)='Copy of 2026'!month_10, H54='Copy of 2026'!HolidayDay),1,0)
+IF(AND(MONTH(Z54)='Copy of 2026'!month_10, D59='Copy of 2026'!HolidayDay),1,0)+IF(AND(MONTH(AA54)='Copy of 2026'!month_10, E59='Copy of 2026'!HolidayDay),1,0)+IF(AND(MONTH(AB54)='Copy of 2026'!month_10, F59='Copy of 2026'!HolidayDay),1,0)+IF(AND(MONTH(AC54)='Copy of 2026'!month_10, G59='Copy of 2026'!HolidayDay),1,0)+IF(AND(MONTH(AD54)='Copy of 2026'!month_10, H59='Copy of 2026'!HolidayDay),1,0),
IF(AND(MONTH(Z49)='Copy of 2026'!month_10, D52='Copy of 2026'!HolidayDay),1,0)+IF(AND(MONTH(AA49)='Copy of 2026'!month_10, E52='Copy of 2026'!HolidayDay),1,0)+IF(AND(MONTH(AB49)='Copy of 2026'!month_10, F52='Copy of 2026'!HolidayDay),1,0)+IF(AND(MONTH(AC49)='Copy of 2026'!month_10, G52='Copy of 2026'!HolidayDay),1,0)+IF(AND(MONTH(AD49)='Copy of 2026'!month_10, H52='Copy of 2026'!HolidayDay),1,0)
+IF(AND(MONTH(Z54)='Copy of 2026'!month_10, D57='Copy of 2026'!HolidayDay),1,0)+IF(AND(MONTH(AA54)='Copy of 2026'!month_10, E57='Copy of 2026'!HolidayDay),1,0)+IF(AND(MONTH(AB54)='Copy of 2026'!month_10, F57='Copy of 2026'!HolidayDay),1,0)+IF(AND(MONTH(AC54)='Copy of 2026'!month_10, G57='Copy of 2026'!HolidayDay),1,0)+IF(AND(MONTH(AD54)='Copy of 2026'!month_10, H57='Copy of 2026'!HolidayDay),1,0)))</f>
        <v>#NAME?</v>
      </c>
      <c r="AD18" s="101"/>
      <c r="AE18" s="106" t="e">
        <f ca="1">IF('Copy of 2026'!WW_first_10=C53, COUNTIF(D54:H57,"="&amp;TEXT('Copy of 2026'!OnCallOffDay,0)), IF('Copy of 2026'!WW_first_10=C54, COUNTIF(D55:H58,"="&amp;TEXT('Copy of 2026'!OnCallOffDay,0)), COUNTIF(D53:H56,"="&amp;TEXT('Copy of 2026'!OnCallOffDay,0))))
+ IF('Copy of 2026'!WW_first_10=C53,
IF(AND(MONTH(Z49)='Copy of 2026'!month_10, D53='Copy of 2026'!OnCallOffDay),1,0)+IF(AND(MONTH(AA49)='Copy of 2026'!month_10, E53='Copy of 2026'!OnCallOffDay),1,0)+IF(AND(MONTH(AB49)='Copy of 2026'!month_10, F53='Copy of 2026'!OnCallOffDay),1,0)+IF(AND(MONTH(AC49)='Copy of 2026'!month_10, G53='Copy of 2026'!OnCallOffDay),1,0)+IF(AND(MONTH(AD49)='Copy of 2026'!month_10, H53='Copy of 2026'!OnCallOffDay),1,0)
+IF(AND(MONTH(Z54)='Copy of 2026'!month_10, D58='Copy of 2026'!OnCallOffDay),1,0)+IF(AND(MONTH(AA54)='Copy of 2026'!month_10, E58='Copy of 2026'!OnCallOffDay),1,0)+IF(AND(MONTH(AB54)='Copy of 2026'!month_10, F58='Copy of 2026'!OnCallOffDay),1,0)+IF(AND(MONTH(AC54)='Copy of 2026'!month_10, G58='Copy of 2026'!OnCallOffDay),1,0)+IF(AND(MONTH(AD54)='Copy of 2026'!month_10, H58='Copy of 2026'!OnCallOffDay),1,0),
IF('Copy of 2026'!WW_first_10=C54,
IF(AND(MONTH(Z49)='Copy of 2026'!month_10, D54='Copy of 2026'!OnCallOffDay),1,0)+IF(AND(MONTH(AA49)='Copy of 2026'!month_10, E54='Copy of 2026'!OnCallOffDay),1,0)+IF(AND(MONTH(AB49)='Copy of 2026'!month_10, F54='Copy of 2026'!OnCallOffDay),1,0)+IF(AND(MONTH(AC49)='Copy of 2026'!month_10, G54='Copy of 2026'!OnCallOffDay),1,0)+IF(AND(MONTH(AD49)='Copy of 2026'!month_10, H54='Copy of 2026'!OnCallOffDay),1,0)
+IF(AND(MONTH(Z54)='Copy of 2026'!month_10, D59='Copy of 2026'!OnCallOffDay),1,0)+IF(AND(MONTH(AA54)='Copy of 2026'!month_10, E59='Copy of 2026'!OnCallOffDay),1,0)+IF(AND(MONTH(AB54)='Copy of 2026'!month_10, F59='Copy of 2026'!OnCallOffDay),1,0)+IF(AND(MONTH(AC54)='Copy of 2026'!month_10, G59='Copy of 2026'!OnCallOffDay),1,0)+IF(AND(MONTH(AD54)='Copy of 2026'!month_10, H59='Copy of 2026'!OnCallOffDay),1,0),
IF(AND(MONTH(Z49)='Copy of 2026'!month_10, D52='Copy of 2026'!OnCallOffDay),1,0)+IF(AND(MONTH(AA49)='Copy of 2026'!month_10, E52='Copy of 2026'!OnCallOffDay),1,0)+IF(AND(MONTH(AB49)='Copy of 2026'!month_10, F52='Copy of 2026'!OnCallOffDay),1,0)+IF(AND(MONTH(AC49)='Copy of 2026'!month_10, G52='Copy of 2026'!OnCallOffDay),1,0)+IF(AND(MONTH(AD49)='Copy of 2026'!month_10, H52='Copy of 2026'!OnCallOffDay),1,0)
+IF(AND(MONTH(Z54)='Copy of 2026'!month_10, D57='Copy of 2026'!OnCallOffDay),1,0)+IF(AND(MONTH(AA54)='Copy of 2026'!month_10, E57='Copy of 2026'!OnCallOffDay),1,0)+IF(AND(MONTH(AB54)='Copy of 2026'!month_10, F57='Copy of 2026'!OnCallOffDay),1,0)+IF(AND(MONTH(AC54)='Copy of 2026'!month_10, G57='Copy of 2026'!OnCallOffDay),1,0)+IF(AND(MONTH(AD54)='Copy of 2026'!month_10, H57='Copy of 2026'!OnCallOffDay),1,0)))</f>
        <v>#NAME?</v>
      </c>
      <c r="AF18" s="102"/>
      <c r="AG18" s="98" t="e">
        <f t="shared" ca="1" si="2"/>
        <v>#NAME?</v>
      </c>
      <c r="AH18" s="99"/>
      <c r="AI18" s="134" t="e">
        <f t="shared" ca="1" si="3"/>
        <v>#NAME?</v>
      </c>
      <c r="AJ18" s="99"/>
      <c r="AK18" s="100" t="str">
        <f ca="1">IFERROR(__xludf.DUMMYFUNCTION("if(AW18="""","""",IFERROR(SPARKLINE(AW18:AX18,{""charttype"",""bar"";""max"",1;""min"",0;""color1"",""#cbe5ed"";""color2"",""#f3f3f3""}),))"),"")</f>
        <v/>
      </c>
      <c r="AL18" s="101"/>
      <c r="AM18" s="101"/>
      <c r="AN18" s="101"/>
      <c r="AO18" s="101"/>
      <c r="AP18" s="101"/>
      <c r="AQ18" s="101"/>
      <c r="AR18" s="101"/>
      <c r="AS18" s="101"/>
      <c r="AT18" s="101"/>
      <c r="AU18" s="98" t="e">
        <f t="shared" ca="1" si="4"/>
        <v>#NAME?</v>
      </c>
      <c r="AV18" s="102"/>
      <c r="AW18" s="11" t="e">
        <f t="shared" ca="1" si="5"/>
        <v>#NAME?</v>
      </c>
      <c r="AX18" s="12" t="e">
        <f t="shared" ca="1" si="6"/>
        <v>#NAME?</v>
      </c>
    </row>
    <row r="19" spans="1:50" ht="18" customHeight="1">
      <c r="A19" s="3">
        <f t="shared" si="8"/>
        <v>3</v>
      </c>
      <c r="B19" s="23" t="s">
        <v>21</v>
      </c>
      <c r="C19" s="24" t="e">
        <f t="shared" ca="1" si="15"/>
        <v>#NAME?</v>
      </c>
      <c r="D19" s="25"/>
      <c r="E19" s="32">
        <v>1</v>
      </c>
      <c r="F19" s="33">
        <v>1</v>
      </c>
      <c r="G19" s="28">
        <v>1</v>
      </c>
      <c r="H19" s="34"/>
      <c r="I19" s="2"/>
      <c r="J19" s="2"/>
      <c r="K19" s="29" t="e">
        <f t="shared" si="9"/>
        <v>#REF!</v>
      </c>
      <c r="L19" s="29" t="e">
        <f t="shared" si="10"/>
        <v>#REF!</v>
      </c>
      <c r="M19" s="29" t="e">
        <f t="shared" si="11"/>
        <v>#REF!</v>
      </c>
      <c r="N19" s="30" t="e">
        <f t="shared" si="12"/>
        <v>#REF!</v>
      </c>
      <c r="O19" s="82" t="e">
        <f t="shared" si="13"/>
        <v>#REF!</v>
      </c>
      <c r="P19" s="82" t="e">
        <f t="shared" si="14"/>
        <v>#REF!</v>
      </c>
      <c r="Q19" s="94"/>
      <c r="R19" s="103" t="e">
        <f t="shared" ca="1" si="7"/>
        <v>#NAME?</v>
      </c>
      <c r="S19" s="104"/>
      <c r="T19" s="104"/>
      <c r="U19" s="135" t="e">
        <f t="shared" ca="1" si="0"/>
        <v>#NAME?</v>
      </c>
      <c r="V19" s="136"/>
      <c r="W19" s="137" t="e">
        <f ca="1">IF('Copy of 2026'!WW_first_11=C57, COUNTIF(D58:H61,"&gt;0"), IF('Copy of 2026'!WW_first_11=C58, COUNTIF(D59:H62,"&gt;0"), COUNTIF(D57:H60,"&gt;0")))
+ IF('Copy of 2026'!WW_first_11=C57,
IF(AND(MONTH(AH49)='Copy of 2026'!month_11, ISNUMBER(D57)),D57,0)+IF(AND(MONTH(AI49)='Copy of 2026'!month_11, ISNUMBER(E57)),E57,0)+IF(AND(MONTH(AJ49)='Copy of 2026'!month_11, ISNUMBER(F57)),F57,0)+IF(AND(MONTH(AK49)='Copy of 2026'!month_11, ISNUMBER(G57)),G57,0)+IF(AND(MONTH(AL49)='Copy of 2026'!month_11, ISNUMBER(H57)),H57,0)
+IF(AND(MONTH(AH54)='Copy of 2026'!month_11, ISNUMBER(D62)),D62,0)+IF(AND(MONTH(AI54)='Copy of 2026'!month_11, ISNUMBER(E62)),E62,0)+IF(AND(MONTH(AJ54)='Copy of 2026'!month_11, ISNUMBER(F62)),F62,0)+IF(AND(MONTH(AK54)='Copy of 2026'!month_11, ISNUMBER(G62)),G62,0)+IF(AND(MONTH(AL54)='Copy of 2026'!month_11, ISNUMBER(H62)),H62,0),
IF('Copy of 2026'!WW_first_11=C58,
IF(AND(MONTH(AH49)='Copy of 2026'!month_11, ISNUMBER(D58)),D58,0)+IF(AND(MONTH(AI49)='Copy of 2026'!month_11, ISNUMBER(E58)),E58,0)+IF(AND(MONTH(AJ49)='Copy of 2026'!month_11, ISNUMBER(F58)),F58,0)+IF(AND(MONTH(AK49)='Copy of 2026'!month_11, ISNUMBER(G58)),G58,0)+IF(AND(MONTH(AL49)='Copy of 2026'!month_11, ISNUMBER(H58)),H58,0)
+IF(AND(MONTH(AH54)='Copy of 2026'!month_11, ISNUMBER(D63)),D63,0)+IF(AND(MONTH(AI54)='Copy of 2026'!month_11, ISNUMBER(E63)),E63,0)+IF(AND(MONTH(AJ54)='Copy of 2026'!month_11, ISNUMBER(F63)),F63,0)+IF(AND(MONTH(AK54)='Copy of 2026'!month_11, ISNUMBER(G63)),G63,0)+IF(AND(MONTH(AL54)='Copy of 2026'!month_11, ISNUMBER(H63)),H63,0),
IF(AND(MONTH(AH49)='Copy of 2026'!month_11, ISNUMBER(D56)),D56,0)+IF(AND(MONTH(AI49)='Copy of 2026'!month_11, ISNUMBER(E56)),E56,0)+IF(AND(MONTH(AJ49)='Copy of 2026'!month_11, ISNUMBER(F56)),F56,0)+IF(AND(MONTH(AK49)='Copy of 2026'!month_11, ISNUMBER(G56)),G56,0)+IF(AND(MONTH(AL49)='Copy of 2026'!month_11, ISNUMBER(H56)),H56,0)
+IF(AND(MONTH(AH54)='Copy of 2026'!month_11, ISNUMBER(D61)),D61,0)+IF(AND(MONTH(AI54)='Copy of 2026'!month_11, ISNUMBER(E61)),E61,0)+IF(AND(MONTH(AJ54)='Copy of 2026'!month_11, ISNUMBER(F61)),F61,0)+IF(AND(MONTH(AK54)='Copy of 2026'!month_11, ISNUMBER(G61)),G61,0)+IF(AND(MONTH(AL54)='Copy of 2026'!month_11, ISNUMBER(H61)),H61,0)))</f>
        <v>#NAME?</v>
      </c>
      <c r="X19" s="99"/>
      <c r="Y19" s="106" t="e">
        <f t="shared" ca="1" si="1"/>
        <v>#NAME?</v>
      </c>
      <c r="Z19" s="102"/>
      <c r="AA19" s="105" t="e">
        <f ca="1">IF('Copy of 2026'!WW_first_11=C57, COUNTIF(D58:H61,"="&amp;TEXT('Copy of 2026'!VacationDay,0)), IF('Copy of 2026'!WW_first_11=C58, COUNTIF(D59:H62,"="&amp;TEXT('Copy of 2026'!VacationDay,0)), COUNTIF(D57:H60,"="&amp;TEXT('Copy of 2026'!VacationDay,0))))
+ IF('Copy of 2026'!WW_first_11=C57,
IF(AND(MONTH(AH49)='Copy of 2026'!month_11, D57='Copy of 2026'!VacationDay),1,0)+IF(AND(MONTH(AI49)='Copy of 2026'!month_11, E57='Copy of 2026'!VacationDay),1,0)+IF(AND(MONTH(AJ49)='Copy of 2026'!month_11, F57='Copy of 2026'!VacationDay),1,0)+IF(AND(MONTH(AK49)='Copy of 2026'!month_11, G57='Copy of 2026'!VacationDay),1,0)+IF(AND(MONTH(AL49)='Copy of 2026'!month_11, H57='Copy of 2026'!VacationDay),1,0)
+IF(AND(MONTH(AH54)='Copy of 2026'!month_11, D62='Copy of 2026'!VacationDay),1,0)+IF(AND(MONTH(AI54)='Copy of 2026'!month_11, E62='Copy of 2026'!VacationDay),1,0)+IF(AND(MONTH(AJ54)='Copy of 2026'!month_11, F62='Copy of 2026'!VacationDay),1,0)+IF(AND(MONTH(AK54)='Copy of 2026'!month_11, G62='Copy of 2026'!VacationDay),1,0)+IF(AND(MONTH(AL54)='Copy of 2026'!month_11, H62='Copy of 2026'!VacationDay),1,0),
IF('Copy of 2026'!WW_first_11=C58,
IF(AND(MONTH(AH49)='Copy of 2026'!month_11, D58='Copy of 2026'!VacationDay),1,0)+IF(AND(MONTH(AI49)='Copy of 2026'!month_11, E58='Copy of 2026'!VacationDay),1,0)+IF(AND(MONTH(AJ49)='Copy of 2026'!month_11, F58='Copy of 2026'!VacationDay),1,0)+IF(AND(MONTH(AK49)='Copy of 2026'!month_11, G58='Copy of 2026'!VacationDay),1,0)+IF(AND(MONTH(AL49)='Copy of 2026'!month_11, H58='Copy of 2026'!VacationDay),1,0)
+IF(AND(MONTH(AH54)='Copy of 2026'!month_11, D63='Copy of 2026'!VacationDay),1,0)+IF(AND(MONTH(AI54)='Copy of 2026'!month_11, E63='Copy of 2026'!VacationDay),1,0)+IF(AND(MONTH(AJ54)='Copy of 2026'!month_11, F63='Copy of 2026'!VacationDay),1,0)+IF(AND(MONTH(AK54)='Copy of 2026'!month_11, G63='Copy of 2026'!VacationDay),1,0)+IF(AND(MONTH(AL54)='Copy of 2026'!month_11, H63='Copy of 2026'!VacationDay),1,0),
IF(AND(MONTH(AH49)='Copy of 2026'!month_11, D56='Copy of 2026'!VacationDay),1,0)+IF(AND(MONTH(AI49)='Copy of 2026'!month_11, E56='Copy of 2026'!VacationDay),1,0)+IF(AND(MONTH(AJ49)='Copy of 2026'!month_11, F56='Copy of 2026'!VacationDay),1,0)+IF(AND(MONTH(AK49)='Copy of 2026'!month_11, G56='Copy of 2026'!VacationDay),1,0)+IF(AND(MONTH(AL49)='Copy of 2026'!month_11, H56='Copy of 2026'!VacationDay),1,0)
+IF(AND(MONTH(AH54)='Copy of 2026'!month_11, D61='Copy of 2026'!VacationDay),1,0)+IF(AND(MONTH(AI54)='Copy of 2026'!month_11, E61='Copy of 2026'!VacationDay),1,0)+IF(AND(MONTH(AJ54)='Copy of 2026'!month_11, F61='Copy of 2026'!VacationDay),1,0)+IF(AND(MONTH(AK54)='Copy of 2026'!month_11, G61='Copy of 2026'!VacationDay),1,0)+IF(AND(MONTH(AL54)='Copy of 2026'!month_11, H61='Copy of 2026'!VacationDay),1,0)))</f>
        <v>#NAME?</v>
      </c>
      <c r="AB19" s="101"/>
      <c r="AC19" s="106" t="e">
        <f ca="1">IF('Copy of 2026'!WW_first_11=C57, COUNTIF(D58:H61,"="&amp;TEXT('Copy of 2026'!HolidayDay,0)), IF('Copy of 2026'!WW_first_11=C58, COUNTIF(D59:H62,"="&amp;TEXT('Copy of 2026'!HolidayDay,0)), COUNTIF(D57:H60,"="&amp;TEXT('Copy of 2026'!HolidayDay,0))))
+ IF('Copy of 2026'!WW_first_11=C57,
IF(AND(MONTH(AH49)='Copy of 2026'!month_11, D57='Copy of 2026'!HolidayDay),1,0)+IF(AND(MONTH(AI49)='Copy of 2026'!month_11, E57='Copy of 2026'!HolidayDay),1,0)+IF(AND(MONTH(AJ49)='Copy of 2026'!month_11, F57='Copy of 2026'!HolidayDay),1,0)+IF(AND(MONTH(AK49)='Copy of 2026'!month_11, G57='Copy of 2026'!HolidayDay),1,0)+IF(AND(MONTH(AL49)='Copy of 2026'!month_11, H57='Copy of 2026'!HolidayDay),1,0)
+IF(AND(MONTH(AH54)='Copy of 2026'!month_11, D62='Copy of 2026'!HolidayDay),1,0)+IF(AND(MONTH(AI54)='Copy of 2026'!month_11, E62='Copy of 2026'!HolidayDay),1,0)+IF(AND(MONTH(AJ54)='Copy of 2026'!month_11, F62='Copy of 2026'!HolidayDay),1,0)+IF(AND(MONTH(AK54)='Copy of 2026'!month_11, G62='Copy of 2026'!HolidayDay),1,0)+IF(AND(MONTH(AL54)='Copy of 2026'!month_11, H62='Copy of 2026'!HolidayDay),1,0),
IF('Copy of 2026'!WW_first_11=C58,
IF(AND(MONTH(AH49)='Copy of 2026'!month_11, D58='Copy of 2026'!HolidayDay),1,0)+IF(AND(MONTH(AI49)='Copy of 2026'!month_11, E58='Copy of 2026'!HolidayDay),1,0)+IF(AND(MONTH(AJ49)='Copy of 2026'!month_11, F58='Copy of 2026'!HolidayDay),1,0)+IF(AND(MONTH(AK49)='Copy of 2026'!month_11, G58='Copy of 2026'!HolidayDay),1,0)+IF(AND(MONTH(AL49)='Copy of 2026'!month_11, H58='Copy of 2026'!HolidayDay),1,0)
+IF(AND(MONTH(AH54)='Copy of 2026'!month_11, D63='Copy of 2026'!HolidayDay),1,0)+IF(AND(MONTH(AI54)='Copy of 2026'!month_11, E63='Copy of 2026'!HolidayDay),1,0)+IF(AND(MONTH(AJ54)='Copy of 2026'!month_11, F63='Copy of 2026'!HolidayDay),1,0)+IF(AND(MONTH(AK54)='Copy of 2026'!month_11, G63='Copy of 2026'!HolidayDay),1,0)+IF(AND(MONTH(AL54)='Copy of 2026'!month_11, H63='Copy of 2026'!HolidayDay),1,0),
IF(AND(MONTH(AH49)='Copy of 2026'!month_11, D56='Copy of 2026'!HolidayDay),1,0)+IF(AND(MONTH(AI49)='Copy of 2026'!month_11, E56='Copy of 2026'!HolidayDay),1,0)+IF(AND(MONTH(AJ49)='Copy of 2026'!month_11, F56='Copy of 2026'!HolidayDay),1,0)+IF(AND(MONTH(AK49)='Copy of 2026'!month_11, G56='Copy of 2026'!HolidayDay),1,0)+IF(AND(MONTH(AL49)='Copy of 2026'!month_11, H56='Copy of 2026'!HolidayDay),1,0)
+IF(AND(MONTH(AH54)='Copy of 2026'!month_11, D61='Copy of 2026'!HolidayDay),1,0)+IF(AND(MONTH(AI54)='Copy of 2026'!month_11, E61='Copy of 2026'!HolidayDay),1,0)+IF(AND(MONTH(AJ54)='Copy of 2026'!month_11, F61='Copy of 2026'!HolidayDay),1,0)+IF(AND(MONTH(AK54)='Copy of 2026'!month_11, G61='Copy of 2026'!HolidayDay),1,0)+IF(AND(MONTH(AL54)='Copy of 2026'!month_11, H61='Copy of 2026'!HolidayDay),1,0)))</f>
        <v>#NAME?</v>
      </c>
      <c r="AD19" s="101"/>
      <c r="AE19" s="106" t="e">
        <f ca="1">IF('Copy of 2026'!WW_first_11=C57, COUNTIF(D58:H61,"="&amp;TEXT('Copy of 2026'!OnCallOffDay,0)), IF('Copy of 2026'!WW_first_11=C58, COUNTIF(D59:H62,"="&amp;TEXT('Copy of 2026'!OnCallOffDay,0)), COUNTIF(D57:H60,"="&amp;TEXT('Copy of 2026'!OnCallOffDay,0))))
+ IF('Copy of 2026'!WW_first_11=C57,
IF(AND(MONTH(AH49)='Copy of 2026'!month_11, D57='Copy of 2026'!OnCallOffDay),1,0)+IF(AND(MONTH(AI49)='Copy of 2026'!month_11, E57='Copy of 2026'!OnCallOffDay),1,0)+IF(AND(MONTH(AJ49)='Copy of 2026'!month_11, F57='Copy of 2026'!OnCallOffDay),1,0)+IF(AND(MONTH(AK49)='Copy of 2026'!month_11, G57='Copy of 2026'!OnCallOffDay),1,0)+IF(AND(MONTH(AL49)='Copy of 2026'!month_11, H57='Copy of 2026'!OnCallOffDay),1,0)
+IF(AND(MONTH(AH54)='Copy of 2026'!month_11, D62='Copy of 2026'!OnCallOffDay),1,0)+IF(AND(MONTH(AI54)='Copy of 2026'!month_11, E62='Copy of 2026'!OnCallOffDay),1,0)+IF(AND(MONTH(AJ54)='Copy of 2026'!month_11, F62='Copy of 2026'!OnCallOffDay),1,0)+IF(AND(MONTH(AK54)='Copy of 2026'!month_11, G62='Copy of 2026'!OnCallOffDay),1,0)+IF(AND(MONTH(AL54)='Copy of 2026'!month_11, H62='Copy of 2026'!OnCallOffDay),1,0),
IF('Copy of 2026'!WW_first_11=C58,
IF(AND(MONTH(AH49)='Copy of 2026'!month_11, D58='Copy of 2026'!OnCallOffDay),1,0)+IF(AND(MONTH(AI49)='Copy of 2026'!month_11, E58='Copy of 2026'!OnCallOffDay),1,0)+IF(AND(MONTH(AJ49)='Copy of 2026'!month_11, F58='Copy of 2026'!OnCallOffDay),1,0)+IF(AND(MONTH(AK49)='Copy of 2026'!month_11, G58='Copy of 2026'!OnCallOffDay),1,0)+IF(AND(MONTH(AL49)='Copy of 2026'!month_11, H58='Copy of 2026'!OnCallOffDay),1,0)
+IF(AND(MONTH(AH54)='Copy of 2026'!month_11, D63='Copy of 2026'!OnCallOffDay),1,0)+IF(AND(MONTH(AI54)='Copy of 2026'!month_11, E63='Copy of 2026'!OnCallOffDay),1,0)+IF(AND(MONTH(AJ54)='Copy of 2026'!month_11, F63='Copy of 2026'!OnCallOffDay),1,0)+IF(AND(MONTH(AK54)='Copy of 2026'!month_11, G63='Copy of 2026'!OnCallOffDay),1,0)+IF(AND(MONTH(AL54)='Copy of 2026'!month_11, H63='Copy of 2026'!OnCallOffDay),1,0),
IF(AND(MONTH(AH49)='Copy of 2026'!month_11, D56='Copy of 2026'!OnCallOffDay),1,0)+IF(AND(MONTH(AI49)='Copy of 2026'!month_11, E56='Copy of 2026'!OnCallOffDay),1,0)+IF(AND(MONTH(AJ49)='Copy of 2026'!month_11, F56='Copy of 2026'!OnCallOffDay),1,0)+IF(AND(MONTH(AK49)='Copy of 2026'!month_11, G56='Copy of 2026'!OnCallOffDay),1,0)+IF(AND(MONTH(AL49)='Copy of 2026'!month_11, H56='Copy of 2026'!OnCallOffDay),1,0)
+IF(AND(MONTH(AH54)='Copy of 2026'!month_11, D61='Copy of 2026'!OnCallOffDay),1,0)+IF(AND(MONTH(AI54)='Copy of 2026'!month_11, E61='Copy of 2026'!OnCallOffDay),1,0)+IF(AND(MONTH(AJ54)='Copy of 2026'!month_11, F61='Copy of 2026'!OnCallOffDay),1,0)+IF(AND(MONTH(AK54)='Copy of 2026'!month_11, G61='Copy of 2026'!OnCallOffDay),1,0)+IF(AND(MONTH(AL54)='Copy of 2026'!month_11, H61='Copy of 2026'!OnCallOffDay),1,0)))</f>
        <v>#NAME?</v>
      </c>
      <c r="AF19" s="102"/>
      <c r="AG19" s="98" t="e">
        <f t="shared" ca="1" si="2"/>
        <v>#NAME?</v>
      </c>
      <c r="AH19" s="99"/>
      <c r="AI19" s="134" t="e">
        <f t="shared" ca="1" si="3"/>
        <v>#NAME?</v>
      </c>
      <c r="AJ19" s="99"/>
      <c r="AK19" s="100" t="str">
        <f ca="1">IFERROR(__xludf.DUMMYFUNCTION("if(AW19="""","""",IFERROR(SPARKLINE(AW19:AX19,{""charttype"",""bar"";""max"",1;""min"",0;""color1"",""#cbe5ed"";""color2"",""#f3f3f3""}),))"),"")</f>
        <v/>
      </c>
      <c r="AL19" s="101"/>
      <c r="AM19" s="101"/>
      <c r="AN19" s="101"/>
      <c r="AO19" s="101"/>
      <c r="AP19" s="101"/>
      <c r="AQ19" s="101"/>
      <c r="AR19" s="101"/>
      <c r="AS19" s="101"/>
      <c r="AT19" s="101"/>
      <c r="AU19" s="98" t="e">
        <f t="shared" ca="1" si="4"/>
        <v>#NAME?</v>
      </c>
      <c r="AV19" s="102"/>
      <c r="AW19" s="11" t="e">
        <f t="shared" ca="1" si="5"/>
        <v>#NAME?</v>
      </c>
      <c r="AX19" s="12" t="e">
        <f t="shared" ca="1" si="6"/>
        <v>#NAME?</v>
      </c>
    </row>
    <row r="20" spans="1:50" ht="18" customHeight="1">
      <c r="A20" s="3">
        <f t="shared" si="8"/>
        <v>0</v>
      </c>
      <c r="B20" s="23" t="s">
        <v>21</v>
      </c>
      <c r="C20" s="24" t="e">
        <f t="shared" ca="1" si="15"/>
        <v>#NAME?</v>
      </c>
      <c r="D20" s="25"/>
      <c r="E20" s="32"/>
      <c r="F20" s="33"/>
      <c r="G20" s="28"/>
      <c r="H20" s="34"/>
      <c r="I20" s="2"/>
      <c r="J20" s="2"/>
      <c r="K20" s="29" t="e">
        <f t="shared" si="9"/>
        <v>#REF!</v>
      </c>
      <c r="L20" s="29" t="e">
        <f t="shared" si="10"/>
        <v>#REF!</v>
      </c>
      <c r="M20" s="29" t="e">
        <f t="shared" si="11"/>
        <v>#REF!</v>
      </c>
      <c r="N20" s="30" t="e">
        <f t="shared" si="12"/>
        <v>#REF!</v>
      </c>
      <c r="O20" s="82" t="e">
        <f t="shared" si="13"/>
        <v>#REF!</v>
      </c>
      <c r="P20" s="82" t="e">
        <f t="shared" si="14"/>
        <v>#REF!</v>
      </c>
      <c r="Q20" s="94"/>
      <c r="R20" s="156" t="e">
        <f t="shared" ca="1" si="7"/>
        <v>#NAME?</v>
      </c>
      <c r="S20" s="130"/>
      <c r="T20" s="130"/>
      <c r="U20" s="157" t="e">
        <f t="shared" ca="1" si="0"/>
        <v>#NAME?</v>
      </c>
      <c r="V20" s="158"/>
      <c r="W20" s="159" t="e">
        <f ca="1">IF('Copy of 2026'!WW_first_12=C61, COUNTIF(D62:H65,"&gt;0"), IF('Copy of 2026'!WW_first_12=C62, COUNTIF(D63:H66,"&gt;0"), COUNTIF(D61:H64,"&gt;0")))
+ IF('Copy of 2026'!WW_first_12=C61,
IF(AND(MONTH(AP49)='Copy of 2026'!month_12, ISNUMBER(D61)),D61,0)+IF(AND(MONTH(AQ49)='Copy of 2026'!month_12, ISNUMBER(E61)),E61,0)+IF(AND(MONTH(AR49)='Copy of 2026'!month_12, ISNUMBER(F61)),F61,0)+IF(AND(MONTH(AS49)='Copy of 2026'!month_12, ISNUMBER(G61)),G61,0)+IF(AND(MONTH(AT49)='Copy of 2026'!month_12, ISNUMBER(H61)),H61,0)
+IF(AND(MONTH(AP54)='Copy of 2026'!month_12, ISNUMBER(D66)),D66,0)+IF(AND(MONTH(AQ54)='Copy of 2026'!month_12, ISNUMBER(E66)),E66,0)+IF(AND(MONTH(AR54)='Copy of 2026'!month_12, ISNUMBER(F66)),F66,0)+IF(AND(MONTH(AS54)='Copy of 2026'!month_12, ISNUMBER(G66)),G66,0)+IF(AND(MONTH(AT54)='Copy of 2026'!month_12, ISNUMBER(H66)),H66,0),
IF('Copy of 2026'!WW_first_12=C62,
IF(AND(MONTH(AP49)='Copy of 2026'!month_12, ISNUMBER(D62)),D62,0)+IF(AND(MONTH(AQ49)='Copy of 2026'!month_12, ISNUMBER(E62)),E62,0)+IF(AND(MONTH(AR49)='Copy of 2026'!month_12, ISNUMBER(F62)),F62,0)+IF(AND(MONTH(AS49)='Copy of 2026'!month_12, ISNUMBER(G62)),G62,0)+IF(AND(MONTH(AT49)='Copy of 2026'!month_12, ISNUMBER(H62)),H62,0)
+IF(AND(MONTH(AP54)='Copy of 2026'!month_12, ISNUMBER(D67)),D67,0)+IF(AND(MONTH(AQ54)='Copy of 2026'!month_12, ISNUMBER(E67)),E67,0)+IF(AND(MONTH(AR54)='Copy of 2026'!month_12, ISNUMBER(F67)),F67,0)+IF(AND(MONTH(AS54)='Copy of 2026'!month_12, ISNUMBER(G67)),G67,0)+IF(AND(MONTH(AT54)='Copy of 2026'!month_12, ISNUMBER(H67)),H67,0),
IF(AND(MONTH(AP49)='Copy of 2026'!month_12, ISNUMBER(D60)),D60,0)+IF(AND(MONTH(AQ49)='Copy of 2026'!month_12, ISNUMBER(E60)),E60,0)+IF(AND(MONTH(AR49)='Copy of 2026'!month_12, ISNUMBER(F60)),F60,0)+IF(AND(MONTH(AS49)='Copy of 2026'!month_12, ISNUMBER(G60)),G60,0)+IF(AND(MONTH(AT49)='Copy of 2026'!month_12, ISNUMBER(H60)),H60,0)
+IF(AND(MONTH(AP54)='Copy of 2026'!month_12, ISNUMBER(D65)),D65,0)+IF(AND(MONTH(AQ54)='Copy of 2026'!month_12, ISNUMBER(E65)),E65,0)+IF(AND(MONTH(AR54)='Copy of 2026'!month_12, ISNUMBER(F65)),F65,0)+IF(AND(MONTH(AS54)='Copy of 2026'!month_12, ISNUMBER(G65)),G65,0)+IF(AND(MONTH(AT54)='Copy of 2026'!month_12, ISNUMBER(H65)),H65,0)))</f>
        <v>#NAME?</v>
      </c>
      <c r="X20" s="111"/>
      <c r="Y20" s="160" t="e">
        <f t="shared" ca="1" si="1"/>
        <v>#NAME?</v>
      </c>
      <c r="Z20" s="112"/>
      <c r="AA20" s="154" t="e">
        <f ca="1">IF('Copy of 2026'!WW_first_12=C61, COUNTIF(D62:H65,"="&amp;TEXT('Copy of 2026'!VacationDay,0)), IF('Copy of 2026'!WW_first_12=C62, COUNTIF(D63:H66,"="&amp;TEXT('Copy of 2026'!VacationDay,0)), COUNTIF(D61:H64,"="&amp;TEXT('Copy of 2026'!VacationDay,0))))
+ IF('Copy of 2026'!WW_first_12=C61,
IF(AND(MONTH(AP49)='Copy of 2026'!month_12, D61='Copy of 2026'!VacationDay),1,0)+IF(AND(MONTH(AQ49)='Copy of 2026'!month_12, E61='Copy of 2026'!VacationDay),1,0)+IF(AND(MONTH(AR49)='Copy of 2026'!month_12, F61='Copy of 2026'!VacationDay),1,0)+IF(AND(MONTH(AS49)='Copy of 2026'!month_12, G61='Copy of 2026'!VacationDay),1,0)+IF(AND(MONTH(AT49)='Copy of 2026'!month_12, H61='Copy of 2026'!VacationDay),1,0)
+IF(AND(MONTH(AP54)='Copy of 2026'!month_12, D66='Copy of 2026'!VacationDay),1,0)+IF(AND(MONTH(AQ54)='Copy of 2026'!month_12, E66='Copy of 2026'!VacationDay),1,0)+IF(AND(MONTH(AR54)='Copy of 2026'!month_12, F66='Copy of 2026'!VacationDay),1,0)+IF(AND(MONTH(AS54)='Copy of 2026'!month_12, G66='Copy of 2026'!VacationDay),1,0)+IF(AND(MONTH(AT54)='Copy of 2026'!month_12, H66='Copy of 2026'!VacationDay),1,0),
IF('Copy of 2026'!WW_first_12=C62,
IF(AND(MONTH(AP49)='Copy of 2026'!month_12, D62='Copy of 2026'!VacationDay),1,0)+IF(AND(MONTH(AQ49)='Copy of 2026'!month_12, E62='Copy of 2026'!VacationDay),1,0)+IF(AND(MONTH(AR49)='Copy of 2026'!month_12, F62='Copy of 2026'!VacationDay),1,0)+IF(AND(MONTH(AS49)='Copy of 2026'!month_12, G62='Copy of 2026'!VacationDay),1,0)+IF(AND(MONTH(AT49)='Copy of 2026'!month_12, H62='Copy of 2026'!VacationDay),1,0)
+IF(AND(MONTH(AP54)='Copy of 2026'!month_12, D67='Copy of 2026'!VacationDay),1,0)+IF(AND(MONTH(AQ54)='Copy of 2026'!month_12, E67='Copy of 2026'!VacationDay),1,0)+IF(AND(MONTH(AR54)='Copy of 2026'!month_12, F67='Copy of 2026'!VacationDay),1,0)+IF(AND(MONTH(AS54)='Copy of 2026'!month_12, G67='Copy of 2026'!VacationDay),1,0)+IF(AND(MONTH(AT54)='Copy of 2026'!month_12, H67='Copy of 2026'!VacationDay),1,0),
IF(AND(MONTH(AP49)='Copy of 2026'!month_12, D60='Copy of 2026'!VacationDay),1,0)+IF(AND(MONTH(AQ49)='Copy of 2026'!month_12, E60='Copy of 2026'!VacationDay),1,0)+IF(AND(MONTH(AR49)='Copy of 2026'!month_12, F60='Copy of 2026'!VacationDay),1,0)+IF(AND(MONTH(AS49)='Copy of 2026'!month_12, G60='Copy of 2026'!VacationDay),1,0)+IF(AND(MONTH(AT49)='Copy of 2026'!month_12, H60='Copy of 2026'!VacationDay),1,0)
+IF(AND(MONTH(AP54)='Copy of 2026'!month_12, D65='Copy of 2026'!VacationDay),1,0)+IF(AND(MONTH(AQ54)='Copy of 2026'!month_12, E65='Copy of 2026'!VacationDay),1,0)+IF(AND(MONTH(AR54)='Copy of 2026'!month_12, F65='Copy of 2026'!VacationDay),1,0)+IF(AND(MONTH(AS54)='Copy of 2026'!month_12, G65='Copy of 2026'!VacationDay),1,0)+IF(AND(MONTH(AT54)='Copy of 2026'!month_12, H65='Copy of 2026'!VacationDay),1,0)))</f>
        <v>#NAME?</v>
      </c>
      <c r="AB20" s="111"/>
      <c r="AC20" s="160" t="e">
        <f ca="1">IF('Copy of 2026'!WW_first_12=C61, COUNTIF(D62:H65,"="&amp;TEXT('Copy of 2026'!HolidayDay,0)), IF('Copy of 2026'!WW_first_12=C62, COUNTIF(D63:H66,"="&amp;TEXT('Copy of 2026'!HolidayDay,0)), COUNTIF(D61:H64,"="&amp;TEXT('Copy of 2026'!HolidayDay,0))))
+ IF('Copy of 2026'!WW_first_12=C61,
IF(AND(MONTH(AP49)='Copy of 2026'!month_12, D61='Copy of 2026'!HolidayDay),1,0)+IF(AND(MONTH(AQ49)='Copy of 2026'!month_12, E61='Copy of 2026'!HolidayDay),1,0)+IF(AND(MONTH(AR49)='Copy of 2026'!month_12, F61='Copy of 2026'!HolidayDay),1,0)+IF(AND(MONTH(AS49)='Copy of 2026'!month_12, G61='Copy of 2026'!HolidayDay),1,0)+IF(AND(MONTH(AT49)='Copy of 2026'!month_12, H61='Copy of 2026'!HolidayDay),1,0)
+IF(AND(MONTH(AP54)='Copy of 2026'!month_12, D66='Copy of 2026'!HolidayDay),1,0)+IF(AND(MONTH(AQ54)='Copy of 2026'!month_12, E66='Copy of 2026'!HolidayDay),1,0)+IF(AND(MONTH(AR54)='Copy of 2026'!month_12, F66='Copy of 2026'!HolidayDay),1,0)+IF(AND(MONTH(AS54)='Copy of 2026'!month_12, G66='Copy of 2026'!HolidayDay),1,0)+IF(AND(MONTH(AT54)='Copy of 2026'!month_12, H66='Copy of 2026'!HolidayDay),1,0),
IF('Copy of 2026'!WW_first_12=C62,
IF(AND(MONTH(AP49)='Copy of 2026'!month_12, D62='Copy of 2026'!HolidayDay),1,0)+IF(AND(MONTH(AQ49)='Copy of 2026'!month_12, E62='Copy of 2026'!HolidayDay),1,0)+IF(AND(MONTH(AR49)='Copy of 2026'!month_12, F62='Copy of 2026'!HolidayDay),1,0)+IF(AND(MONTH(AS49)='Copy of 2026'!month_12, G62='Copy of 2026'!HolidayDay),1,0)+IF(AND(MONTH(AT49)='Copy of 2026'!month_12, H62='Copy of 2026'!HolidayDay),1,0)
+IF(AND(MONTH(AP54)='Copy of 2026'!month_12, D67='Copy of 2026'!HolidayDay),1,0)+IF(AND(MONTH(AQ54)='Copy of 2026'!month_12, E67='Copy of 2026'!HolidayDay),1,0)+IF(AND(MONTH(AR54)='Copy of 2026'!month_12, F67='Copy of 2026'!HolidayDay),1,0)+IF(AND(MONTH(AS54)='Copy of 2026'!month_12, G67='Copy of 2026'!HolidayDay),1,0)+IF(AND(MONTH(AT54)='Copy of 2026'!month_12, H67='Copy of 2026'!HolidayDay),1,0),
IF(AND(MONTH(AP49)='Copy of 2026'!month_12, D60='Copy of 2026'!HolidayDay),1,0)+IF(AND(MONTH(AQ49)='Copy of 2026'!month_12, E60='Copy of 2026'!HolidayDay),1,0)+IF(AND(MONTH(AR49)='Copy of 2026'!month_12, F60='Copy of 2026'!HolidayDay),1,0)+IF(AND(MONTH(AS49)='Copy of 2026'!month_12, G60='Copy of 2026'!HolidayDay),1,0)+IF(AND(MONTH(AT49)='Copy of 2026'!month_12, H60='Copy of 2026'!HolidayDay),1,0)
+IF(AND(MONTH(AP54)='Copy of 2026'!month_12, D65='Copy of 2026'!HolidayDay),1,0)+IF(AND(MONTH(AQ54)='Copy of 2026'!month_12, E65='Copy of 2026'!HolidayDay),1,0)+IF(AND(MONTH(AR54)='Copy of 2026'!month_12, F65='Copy of 2026'!HolidayDay),1,0)+IF(AND(MONTH(AS54)='Copy of 2026'!month_12, G65='Copy of 2026'!HolidayDay),1,0)+IF(AND(MONTH(AT54)='Copy of 2026'!month_12, H65='Copy of 2026'!HolidayDay),1,0)))</f>
        <v>#NAME?</v>
      </c>
      <c r="AD20" s="111"/>
      <c r="AE20" s="160" t="e">
        <f ca="1">IF('Copy of 2026'!WW_first_12=C61, COUNTIF(D62:H65,"="&amp;TEXT('Copy of 2026'!OnCallOffDay,0)), IF('Copy of 2026'!WW_first_12=C62, COUNTIF(D63:H66,"="&amp;TEXT('Copy of 2026'!OnCallOffDay,0)), COUNTIF(D61:H64,"="&amp;TEXT('Copy of 2026'!OnCallOffDay,0))))
+ IF('Copy of 2026'!WW_first_12=C61,
IF(AND(MONTH(AP49)='Copy of 2026'!month_12, D61='Copy of 2026'!OnCallOffDay),1,0)+IF(AND(MONTH(AQ49)='Copy of 2026'!month_12, E61='Copy of 2026'!OnCallOffDay),1,0)+IF(AND(MONTH(AR49)='Copy of 2026'!month_12, F61='Copy of 2026'!OnCallOffDay),1,0)+IF(AND(MONTH(AS49)='Copy of 2026'!month_12, G61='Copy of 2026'!OnCallOffDay),1,0)+IF(AND(MONTH(AT49)='Copy of 2026'!month_12, H61='Copy of 2026'!OnCallOffDay),1,0)
+IF(AND(MONTH(AP54)='Copy of 2026'!month_12, D66='Copy of 2026'!OnCallOffDay),1,0)+IF(AND(MONTH(AQ54)='Copy of 2026'!month_12, E66='Copy of 2026'!OnCallOffDay),1,0)+IF(AND(MONTH(AR54)='Copy of 2026'!month_12, F66='Copy of 2026'!OnCallOffDay),1,0)+IF(AND(MONTH(AS54)='Copy of 2026'!month_12, G66='Copy of 2026'!OnCallOffDay),1,0)+IF(AND(MONTH(AT54)='Copy of 2026'!month_12, H66='Copy of 2026'!OnCallOffDay),1,0),
IF('Copy of 2026'!WW_first_12=C62,
IF(AND(MONTH(AP49)='Copy of 2026'!month_12, D62='Copy of 2026'!OnCallOffDay),1,0)+IF(AND(MONTH(AQ49)='Copy of 2026'!month_12, E62='Copy of 2026'!OnCallOffDay),1,0)+IF(AND(MONTH(AR49)='Copy of 2026'!month_12, F62='Copy of 2026'!OnCallOffDay),1,0)+IF(AND(MONTH(AS49)='Copy of 2026'!month_12, G62='Copy of 2026'!OnCallOffDay),1,0)+IF(AND(MONTH(AT49)='Copy of 2026'!month_12, H62='Copy of 2026'!OnCallOffDay),1,0)
+IF(AND(MONTH(AP54)='Copy of 2026'!month_12, D67='Copy of 2026'!OnCallOffDay),1,0)+IF(AND(MONTH(AQ54)='Copy of 2026'!month_12, E67='Copy of 2026'!OnCallOffDay),1,0)+IF(AND(MONTH(AR54)='Copy of 2026'!month_12, F67='Copy of 2026'!OnCallOffDay),1,0)+IF(AND(MONTH(AS54)='Copy of 2026'!month_12, G67='Copy of 2026'!OnCallOffDay),1,0)+IF(AND(MONTH(AT54)='Copy of 2026'!month_12, H67='Copy of 2026'!OnCallOffDay),1,0),
IF(AND(MONTH(AP49)='Copy of 2026'!month_12, D60='Copy of 2026'!OnCallOffDay),1,0)+IF(AND(MONTH(AQ49)='Copy of 2026'!month_12, E60='Copy of 2026'!OnCallOffDay),1,0)+IF(AND(MONTH(AR49)='Copy of 2026'!month_12, F60='Copy of 2026'!OnCallOffDay),1,0)+IF(AND(MONTH(AS49)='Copy of 2026'!month_12, G60='Copy of 2026'!OnCallOffDay),1,0)+IF(AND(MONTH(AT49)='Copy of 2026'!month_12, H60='Copy of 2026'!OnCallOffDay),1,0)
+IF(AND(MONTH(AP54)='Copy of 2026'!month_12, D65='Copy of 2026'!OnCallOffDay),1,0)+IF(AND(MONTH(AQ54)='Copy of 2026'!month_12, E65='Copy of 2026'!OnCallOffDay),1,0)+IF(AND(MONTH(AR54)='Copy of 2026'!month_12, F65='Copy of 2026'!OnCallOffDay),1,0)+IF(AND(MONTH(AS54)='Copy of 2026'!month_12, G65='Copy of 2026'!OnCallOffDay),1,0)+IF(AND(MONTH(AT54)='Copy of 2026'!month_12, H65='Copy of 2026'!OnCallOffDay),1,0)))</f>
        <v>#NAME?</v>
      </c>
      <c r="AF20" s="112"/>
      <c r="AG20" s="138" t="e">
        <f t="shared" ca="1" si="2"/>
        <v>#NAME?</v>
      </c>
      <c r="AH20" s="139"/>
      <c r="AI20" s="140" t="e">
        <f t="shared" ca="1" si="3"/>
        <v>#NAME?</v>
      </c>
      <c r="AJ20" s="111"/>
      <c r="AK20" s="141" t="str">
        <f ca="1">IFERROR(__xludf.DUMMYFUNCTION("if(AW20="""","""",IFERROR(SPARKLINE(AW20:AX20,{""charttype"",""bar"";""max"",1;""min"",0;""color1"",""#cbe5ed"";""color2"",""#f3f3f3""}),))"),"")</f>
        <v/>
      </c>
      <c r="AL20" s="111"/>
      <c r="AM20" s="111"/>
      <c r="AN20" s="111"/>
      <c r="AO20" s="111"/>
      <c r="AP20" s="111"/>
      <c r="AQ20" s="111"/>
      <c r="AR20" s="111"/>
      <c r="AS20" s="111"/>
      <c r="AT20" s="111"/>
      <c r="AU20" s="119" t="e">
        <f t="shared" ca="1" si="4"/>
        <v>#NAME?</v>
      </c>
      <c r="AV20" s="112"/>
      <c r="AW20" s="11" t="e">
        <f t="shared" ca="1" si="5"/>
        <v>#NAME?</v>
      </c>
      <c r="AX20" s="12" t="e">
        <f t="shared" ca="1" si="6"/>
        <v>#NAME?</v>
      </c>
    </row>
    <row r="21" spans="1:50" ht="18" customHeight="1">
      <c r="A21" s="3">
        <f t="shared" si="8"/>
        <v>0</v>
      </c>
      <c r="B21" s="23" t="s">
        <v>21</v>
      </c>
      <c r="C21" s="24" t="e">
        <f t="shared" ca="1" si="15"/>
        <v>#NAME?</v>
      </c>
      <c r="D21" s="25"/>
      <c r="E21" s="26"/>
      <c r="F21" s="33"/>
      <c r="G21" s="28"/>
      <c r="H21" s="34"/>
      <c r="I21" s="2"/>
      <c r="J21" s="2"/>
      <c r="K21" s="29" t="e">
        <f t="shared" si="9"/>
        <v>#REF!</v>
      </c>
      <c r="L21" s="29" t="e">
        <f t="shared" si="10"/>
        <v>#REF!</v>
      </c>
      <c r="M21" s="29" t="e">
        <f t="shared" si="11"/>
        <v>#REF!</v>
      </c>
      <c r="N21" s="30" t="e">
        <f t="shared" si="12"/>
        <v>#REF!</v>
      </c>
      <c r="O21" s="82" t="e">
        <f t="shared" si="13"/>
        <v>#REF!</v>
      </c>
      <c r="P21" s="82" t="e">
        <f t="shared" si="14"/>
        <v>#REF!</v>
      </c>
      <c r="Q21" s="3"/>
      <c r="R21" s="133" t="e">
        <f t="shared" ca="1" si="7"/>
        <v>#NAME?</v>
      </c>
      <c r="S21" s="117"/>
      <c r="T21" s="117"/>
      <c r="U21" s="4"/>
      <c r="V21" s="4"/>
      <c r="W21" s="4"/>
      <c r="X21" s="4"/>
      <c r="Y21" s="4"/>
      <c r="Z21" s="4"/>
      <c r="AA21" s="100" t="e">
        <f ca="1">SUM(AA9:AA20)</f>
        <v>#NAME?</v>
      </c>
      <c r="AB21" s="99"/>
      <c r="AC21" s="100" t="e">
        <f ca="1">SUM(AC9:AC20)</f>
        <v>#NAME?</v>
      </c>
      <c r="AD21" s="99"/>
      <c r="AE21" s="100" t="e">
        <f ca="1">SUM(AE9:AE20)</f>
        <v>#NAME?</v>
      </c>
      <c r="AF21" s="99"/>
      <c r="AG21" s="4"/>
      <c r="AH21" s="4"/>
      <c r="AI21" s="155" t="e">
        <f ca="1">AVERAGE(AI9:AI20)</f>
        <v>#NAME?</v>
      </c>
      <c r="AJ21" s="99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3"/>
      <c r="AX21" s="3"/>
    </row>
    <row r="22" spans="1:50" ht="18" customHeight="1">
      <c r="A22" s="3">
        <f t="shared" si="8"/>
        <v>0</v>
      </c>
      <c r="B22" s="23" t="s">
        <v>21</v>
      </c>
      <c r="C22" s="24" t="e">
        <f t="shared" ca="1" si="15"/>
        <v>#NAME?</v>
      </c>
      <c r="D22" s="25"/>
      <c r="E22" s="26"/>
      <c r="F22" s="27"/>
      <c r="G22" s="28"/>
      <c r="H22" s="34"/>
      <c r="I22" s="2"/>
      <c r="J22" s="2"/>
      <c r="K22" s="29" t="e">
        <f t="shared" si="9"/>
        <v>#REF!</v>
      </c>
      <c r="L22" s="29" t="e">
        <f t="shared" si="10"/>
        <v>#REF!</v>
      </c>
      <c r="M22" s="29">
        <f t="shared" si="11"/>
        <v>2.875</v>
      </c>
      <c r="N22" s="30" t="e">
        <f t="shared" si="12"/>
        <v>#REF!</v>
      </c>
      <c r="O22" s="82" t="e">
        <f t="shared" si="13"/>
        <v>#REF!</v>
      </c>
      <c r="P22" s="82">
        <f t="shared" si="14"/>
        <v>1</v>
      </c>
      <c r="Q22" s="3"/>
      <c r="R22" s="36" t="e">
        <f ca="1">MONTH(K9)</f>
        <v>#NAME?</v>
      </c>
      <c r="S22" s="37"/>
      <c r="T22" s="37"/>
      <c r="U22" s="37"/>
      <c r="V22" s="37"/>
      <c r="W22" s="37"/>
      <c r="X22" s="37"/>
      <c r="Y22" s="2"/>
      <c r="Z22" s="36" t="e">
        <f ca="1">IF(R22+1=13,1,R22+1)</f>
        <v>#NAME?</v>
      </c>
      <c r="AA22" s="2"/>
      <c r="AB22" s="2"/>
      <c r="AC22" s="2"/>
      <c r="AD22" s="2"/>
      <c r="AE22" s="2"/>
      <c r="AF22" s="2"/>
      <c r="AG22" s="2"/>
      <c r="AH22" s="36" t="e">
        <f ca="1">IF(Z22+1=13,1,Z22+1)</f>
        <v>#NAME?</v>
      </c>
      <c r="AI22" s="2"/>
      <c r="AJ22" s="2"/>
      <c r="AK22" s="2"/>
      <c r="AL22" s="2"/>
      <c r="AM22" s="2"/>
      <c r="AN22" s="2"/>
      <c r="AO22" s="2"/>
      <c r="AP22" s="36" t="e">
        <f ca="1">IF(AH22+1&gt;12,AH22+1-12,AH22+1)</f>
        <v>#NAME?</v>
      </c>
      <c r="AQ22" s="2"/>
      <c r="AR22" s="2"/>
      <c r="AS22" s="2"/>
      <c r="AT22" s="2"/>
      <c r="AU22" s="2"/>
      <c r="AV22" s="2"/>
      <c r="AW22" s="3"/>
      <c r="AX22" s="3"/>
    </row>
    <row r="23" spans="1:50" ht="18" customHeight="1">
      <c r="A23" s="3">
        <f t="shared" si="8"/>
        <v>0</v>
      </c>
      <c r="B23" s="38" t="s">
        <v>21</v>
      </c>
      <c r="C23" s="39" t="e">
        <f t="shared" ca="1" si="15"/>
        <v>#NAME?</v>
      </c>
      <c r="D23" s="25"/>
      <c r="E23" s="26"/>
      <c r="F23" s="27"/>
      <c r="G23" s="28"/>
      <c r="H23" s="34"/>
      <c r="I23" s="2"/>
      <c r="J23" s="2"/>
      <c r="K23" s="29" t="e">
        <f t="shared" si="9"/>
        <v>#REF!</v>
      </c>
      <c r="L23" s="29" t="e">
        <f t="shared" si="10"/>
        <v>#REF!</v>
      </c>
      <c r="M23" s="29">
        <f t="shared" si="11"/>
        <v>2.875</v>
      </c>
      <c r="N23" s="30">
        <f t="shared" si="12"/>
        <v>5</v>
      </c>
      <c r="O23" s="82">
        <f t="shared" si="13"/>
        <v>7</v>
      </c>
      <c r="P23" s="82">
        <f t="shared" si="14"/>
        <v>1</v>
      </c>
      <c r="Q23" s="3"/>
      <c r="R23" s="37"/>
      <c r="S23" s="37"/>
      <c r="T23" s="37"/>
      <c r="U23" s="37"/>
      <c r="V23" s="37"/>
      <c r="W23" s="37"/>
      <c r="X23" s="37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3"/>
      <c r="AX23" s="3"/>
    </row>
    <row r="24" spans="1:50" ht="18" customHeight="1">
      <c r="A24" s="3">
        <f t="shared" si="8"/>
        <v>0</v>
      </c>
      <c r="B24" s="23" t="s">
        <v>21</v>
      </c>
      <c r="C24" s="24" t="e">
        <f t="shared" ca="1" si="15"/>
        <v>#NAME?</v>
      </c>
      <c r="D24" s="25"/>
      <c r="E24" s="26"/>
      <c r="F24" s="27"/>
      <c r="G24" s="28"/>
      <c r="H24" s="34"/>
      <c r="I24" s="2"/>
      <c r="J24" s="2"/>
      <c r="K24" s="29">
        <f t="shared" si="9"/>
        <v>2.2999999999999998</v>
      </c>
      <c r="L24" s="29">
        <f t="shared" si="10"/>
        <v>2.875</v>
      </c>
      <c r="M24" s="29">
        <f t="shared" si="11"/>
        <v>2.625</v>
      </c>
      <c r="N24" s="30">
        <f t="shared" si="12"/>
        <v>5</v>
      </c>
      <c r="O24" s="31">
        <f t="shared" ref="O24:O66" si="16">($E$10*10)-SUM(LARGE(A13:A24,1), LARGE(A13:A24,2),LARGE(A13:A24,3), LARGE(A13:A24,4),LARGE(A13:A24,5), LARGE(A13:A24,6),LARGE(A13:A24,7), LARGE(A13:A24,8),LARGE(A13:A24,9), LARGE(A13:A24,10))</f>
        <v>7</v>
      </c>
      <c r="P24" s="82">
        <f t="shared" si="14"/>
        <v>3</v>
      </c>
      <c r="Q24" s="3"/>
      <c r="R24" s="107" t="e">
        <f ca="1">_xludf.IFS(R22=1,"J A N U A R Y",R22=2,"F E B R U A R Y",R22=3,"M A R C H",R22=4,"A P R I L",R22=5, "M A Y",R22=6, "J U N E",R22=7, "J U L Y",R22=8,"A U G U S T ",R22=9,"S E P T E M B E R ",R22=10,"O C T O B E R",R22=11,"N O V E M B E R",R22=12,"D E C E M B E R")</f>
        <v>#NAME?</v>
      </c>
      <c r="S24" s="108"/>
      <c r="T24" s="108"/>
      <c r="U24" s="108"/>
      <c r="V24" s="108"/>
      <c r="W24" s="108"/>
      <c r="X24" s="109"/>
      <c r="Y24" s="4"/>
      <c r="Z24" s="113" t="e">
        <f ca="1">_xludf.IFS(Z22=1,"J A N U A R Y",Z22=2,"F E B R U A R Y",Z22=3,"M A R C H",Z22=4,"A P R I L",Z22=5, "M A Y",Z22=6, "J U N E",Z22=7, "J U L Y",Z22=8,"A U G U S T ",Z22=9,"S E P T E M B E R ",Z22=10,"O C T O B E R",Z22=11,"N O V E M B E R",Z22=12,"D E C E M B E R")</f>
        <v>#NAME?</v>
      </c>
      <c r="AA24" s="108"/>
      <c r="AB24" s="108"/>
      <c r="AC24" s="108"/>
      <c r="AD24" s="108"/>
      <c r="AE24" s="108"/>
      <c r="AF24" s="109"/>
      <c r="AG24" s="4"/>
      <c r="AH24" s="115" t="e">
        <f ca="1">_xludf.IFS(AH22=1,"J A N U A R Y",AH22=2,"F E B R U A R Y",AH22=3,"M A R C H",AH22=4,"A P R I L",AH22=5, "M A Y",AH22=6, "J U N E",AH22=7, "J U L Y",AH22=8,"A U G U S T ",AH22=9,"S E P T E M B E R ",AH22=10,"O C T O B E R",AH22=11,"N O V E M B E R",AH22=12,"D E C E M B E R")</f>
        <v>#NAME?</v>
      </c>
      <c r="AI24" s="108"/>
      <c r="AJ24" s="108"/>
      <c r="AK24" s="108"/>
      <c r="AL24" s="108"/>
      <c r="AM24" s="108"/>
      <c r="AN24" s="109"/>
      <c r="AO24" s="4"/>
      <c r="AP24" s="118" t="e">
        <f ca="1">_xludf.IFS(AP22=1,"J A N U A R Y",AP22=2,"F E B R U A R Y",AP22=3,"M A R C H",AP22=4,"A P R I L",AP22=5, "M A Y",AP22=6, "J U N E",AP22=7, "J U L Y",AP22=8,"A U G U S T ",AP22=9,"S E P T E M B E R ",AP22=10,"O C T O B E R",AP22=11,"N O V E M B E R",AP22=12,"D E C E M B E R")</f>
        <v>#NAME?</v>
      </c>
      <c r="AQ24" s="108"/>
      <c r="AR24" s="108"/>
      <c r="AS24" s="108"/>
      <c r="AT24" s="108"/>
      <c r="AU24" s="108"/>
      <c r="AV24" s="109"/>
      <c r="AW24" s="3"/>
      <c r="AX24" s="3"/>
    </row>
    <row r="25" spans="1:50" ht="18.75" customHeight="1">
      <c r="A25" s="3">
        <f t="shared" si="8"/>
        <v>0</v>
      </c>
      <c r="B25" s="23" t="s">
        <v>21</v>
      </c>
      <c r="C25" s="24" t="e">
        <f t="shared" ca="1" si="15"/>
        <v>#NAME?</v>
      </c>
      <c r="D25" s="25"/>
      <c r="E25" s="26"/>
      <c r="F25" s="27"/>
      <c r="G25" s="28"/>
      <c r="H25" s="34"/>
      <c r="I25" s="2"/>
      <c r="J25" s="2"/>
      <c r="K25" s="29">
        <f t="shared" si="9"/>
        <v>2.2999999999999998</v>
      </c>
      <c r="L25" s="29">
        <f t="shared" si="10"/>
        <v>2.875</v>
      </c>
      <c r="M25" s="29">
        <f t="shared" si="11"/>
        <v>2</v>
      </c>
      <c r="N25" s="30">
        <f t="shared" si="12"/>
        <v>5</v>
      </c>
      <c r="O25" s="31">
        <f t="shared" si="16"/>
        <v>7</v>
      </c>
      <c r="P25" s="82">
        <f t="shared" si="14"/>
        <v>8</v>
      </c>
      <c r="Q25" s="3"/>
      <c r="R25" s="110"/>
      <c r="S25" s="111"/>
      <c r="T25" s="111"/>
      <c r="U25" s="111"/>
      <c r="V25" s="111"/>
      <c r="W25" s="111"/>
      <c r="X25" s="112"/>
      <c r="Y25" s="4"/>
      <c r="Z25" s="110"/>
      <c r="AA25" s="111"/>
      <c r="AB25" s="111"/>
      <c r="AC25" s="111"/>
      <c r="AD25" s="111"/>
      <c r="AE25" s="111"/>
      <c r="AF25" s="112"/>
      <c r="AG25" s="4"/>
      <c r="AH25" s="110"/>
      <c r="AI25" s="111"/>
      <c r="AJ25" s="111"/>
      <c r="AK25" s="111"/>
      <c r="AL25" s="111"/>
      <c r="AM25" s="111"/>
      <c r="AN25" s="112"/>
      <c r="AO25" s="4"/>
      <c r="AP25" s="110"/>
      <c r="AQ25" s="111"/>
      <c r="AR25" s="111"/>
      <c r="AS25" s="111"/>
      <c r="AT25" s="111"/>
      <c r="AU25" s="111"/>
      <c r="AV25" s="112"/>
      <c r="AW25" s="3"/>
      <c r="AX25" s="3"/>
    </row>
    <row r="26" spans="1:50" ht="18" customHeight="1">
      <c r="A26" s="3">
        <f t="shared" si="8"/>
        <v>0</v>
      </c>
      <c r="B26" s="23" t="s">
        <v>21</v>
      </c>
      <c r="C26" s="24" t="e">
        <f t="shared" ca="1" si="15"/>
        <v>#NAME?</v>
      </c>
      <c r="D26" s="25"/>
      <c r="E26" s="26"/>
      <c r="F26" s="27"/>
      <c r="G26" s="28"/>
      <c r="H26" s="34"/>
      <c r="I26" s="2"/>
      <c r="J26" s="2"/>
      <c r="K26" s="29">
        <f t="shared" si="9"/>
        <v>2.1</v>
      </c>
      <c r="L26" s="29">
        <f t="shared" si="10"/>
        <v>2.625</v>
      </c>
      <c r="M26" s="29">
        <f t="shared" si="11"/>
        <v>1.375</v>
      </c>
      <c r="N26" s="30">
        <f t="shared" si="12"/>
        <v>5</v>
      </c>
      <c r="O26" s="31">
        <f t="shared" si="16"/>
        <v>9</v>
      </c>
      <c r="P26" s="82">
        <f t="shared" si="14"/>
        <v>13</v>
      </c>
      <c r="Q26" s="3"/>
      <c r="R26" s="40" t="s">
        <v>16</v>
      </c>
      <c r="S26" s="41" t="s">
        <v>17</v>
      </c>
      <c r="T26" s="41" t="s">
        <v>6</v>
      </c>
      <c r="U26" s="41" t="s">
        <v>18</v>
      </c>
      <c r="V26" s="41" t="s">
        <v>19</v>
      </c>
      <c r="W26" s="41" t="s">
        <v>22</v>
      </c>
      <c r="X26" s="42" t="s">
        <v>23</v>
      </c>
      <c r="Y26" s="43"/>
      <c r="Z26" s="38" t="s">
        <v>16</v>
      </c>
      <c r="AA26" s="39" t="s">
        <v>17</v>
      </c>
      <c r="AB26" s="39" t="s">
        <v>6</v>
      </c>
      <c r="AC26" s="39" t="s">
        <v>18</v>
      </c>
      <c r="AD26" s="39" t="s">
        <v>19</v>
      </c>
      <c r="AE26" s="39" t="s">
        <v>22</v>
      </c>
      <c r="AF26" s="44" t="s">
        <v>23</v>
      </c>
      <c r="AG26" s="43"/>
      <c r="AH26" s="45" t="s">
        <v>16</v>
      </c>
      <c r="AI26" s="46" t="s">
        <v>17</v>
      </c>
      <c r="AJ26" s="46" t="s">
        <v>6</v>
      </c>
      <c r="AK26" s="46" t="s">
        <v>18</v>
      </c>
      <c r="AL26" s="46" t="s">
        <v>19</v>
      </c>
      <c r="AM26" s="46" t="s">
        <v>22</v>
      </c>
      <c r="AN26" s="47" t="s">
        <v>23</v>
      </c>
      <c r="AO26" s="43"/>
      <c r="AP26" s="48" t="s">
        <v>16</v>
      </c>
      <c r="AQ26" s="49" t="s">
        <v>17</v>
      </c>
      <c r="AR26" s="49" t="s">
        <v>6</v>
      </c>
      <c r="AS26" s="49" t="s">
        <v>18</v>
      </c>
      <c r="AT26" s="49" t="s">
        <v>19</v>
      </c>
      <c r="AU26" s="49" t="s">
        <v>22</v>
      </c>
      <c r="AV26" s="50" t="s">
        <v>23</v>
      </c>
      <c r="AW26" s="3"/>
      <c r="AX26" s="3"/>
    </row>
    <row r="27" spans="1:50" ht="18" customHeight="1">
      <c r="A27" s="3">
        <f t="shared" si="8"/>
        <v>0</v>
      </c>
      <c r="B27" s="23" t="s">
        <v>21</v>
      </c>
      <c r="C27" s="24" t="e">
        <f t="shared" ca="1" si="15"/>
        <v>#NAME?</v>
      </c>
      <c r="D27" s="25"/>
      <c r="E27" s="26"/>
      <c r="F27" s="27"/>
      <c r="G27" s="28"/>
      <c r="H27" s="34"/>
      <c r="I27" s="2"/>
      <c r="J27" s="2"/>
      <c r="K27" s="29">
        <f t="shared" si="9"/>
        <v>1.6</v>
      </c>
      <c r="L27" s="29">
        <f t="shared" si="10"/>
        <v>2</v>
      </c>
      <c r="M27" s="29">
        <f t="shared" si="11"/>
        <v>0.75</v>
      </c>
      <c r="N27" s="30">
        <f t="shared" si="12"/>
        <v>5</v>
      </c>
      <c r="O27" s="31">
        <f t="shared" si="16"/>
        <v>14</v>
      </c>
      <c r="P27" s="82">
        <f t="shared" si="14"/>
        <v>18</v>
      </c>
      <c r="Q27" s="51" t="e">
        <f ca="1">IF(Q28=1, 52, Q28-1)</f>
        <v>#NAME?</v>
      </c>
      <c r="R27" s="52" t="e">
        <f ca="1">R28-7</f>
        <v>#NAME?</v>
      </c>
      <c r="S27" s="53" t="e">
        <f t="shared" ref="S27:X27" ca="1" si="17">R27+1</f>
        <v>#NAME?</v>
      </c>
      <c r="T27" s="53" t="e">
        <f t="shared" ca="1" si="17"/>
        <v>#NAME?</v>
      </c>
      <c r="U27" s="53" t="e">
        <f t="shared" ca="1" si="17"/>
        <v>#NAME?</v>
      </c>
      <c r="V27" s="53" t="e">
        <f t="shared" ca="1" si="17"/>
        <v>#NAME?</v>
      </c>
      <c r="W27" s="54" t="e">
        <f t="shared" ca="1" si="17"/>
        <v>#NAME?</v>
      </c>
      <c r="X27" s="55" t="e">
        <f t="shared" ca="1" si="17"/>
        <v>#NAME?</v>
      </c>
      <c r="Y27" s="51" t="e">
        <f ca="1">Y28-1</f>
        <v>#NAME?</v>
      </c>
      <c r="Z27" s="52" t="e">
        <f ca="1">Z28-7</f>
        <v>#NAME?</v>
      </c>
      <c r="AA27" s="53" t="e">
        <f t="shared" ref="AA27:AF27" ca="1" si="18">Z27+1</f>
        <v>#NAME?</v>
      </c>
      <c r="AB27" s="53" t="e">
        <f t="shared" ca="1" si="18"/>
        <v>#NAME?</v>
      </c>
      <c r="AC27" s="53" t="e">
        <f t="shared" ca="1" si="18"/>
        <v>#NAME?</v>
      </c>
      <c r="AD27" s="53" t="e">
        <f t="shared" ca="1" si="18"/>
        <v>#NAME?</v>
      </c>
      <c r="AE27" s="56" t="e">
        <f t="shared" ca="1" si="18"/>
        <v>#NAME?</v>
      </c>
      <c r="AF27" s="57" t="e">
        <f t="shared" ca="1" si="18"/>
        <v>#NAME?</v>
      </c>
      <c r="AG27" s="51" t="e">
        <f ca="1">AG28-1</f>
        <v>#NAME?</v>
      </c>
      <c r="AH27" s="52" t="e">
        <f ca="1">AH28-7</f>
        <v>#NAME?</v>
      </c>
      <c r="AI27" s="53" t="e">
        <f t="shared" ref="AI27:AN27" ca="1" si="19">AH27+1</f>
        <v>#NAME?</v>
      </c>
      <c r="AJ27" s="53" t="e">
        <f t="shared" ca="1" si="19"/>
        <v>#NAME?</v>
      </c>
      <c r="AK27" s="53" t="e">
        <f t="shared" ca="1" si="19"/>
        <v>#NAME?</v>
      </c>
      <c r="AL27" s="53" t="e">
        <f t="shared" ca="1" si="19"/>
        <v>#NAME?</v>
      </c>
      <c r="AM27" s="58" t="e">
        <f t="shared" ca="1" si="19"/>
        <v>#NAME?</v>
      </c>
      <c r="AN27" s="59" t="e">
        <f t="shared" ca="1" si="19"/>
        <v>#NAME?</v>
      </c>
      <c r="AO27" s="51" t="e">
        <f ca="1">AO28-1</f>
        <v>#NAME?</v>
      </c>
      <c r="AP27" s="52" t="e">
        <f ca="1">AP28-7</f>
        <v>#NAME?</v>
      </c>
      <c r="AQ27" s="53" t="e">
        <f t="shared" ref="AQ27:AV27" ca="1" si="20">AP27+1</f>
        <v>#NAME?</v>
      </c>
      <c r="AR27" s="53" t="e">
        <f t="shared" ca="1" si="20"/>
        <v>#NAME?</v>
      </c>
      <c r="AS27" s="53" t="e">
        <f t="shared" ca="1" si="20"/>
        <v>#NAME?</v>
      </c>
      <c r="AT27" s="53" t="e">
        <f t="shared" ca="1" si="20"/>
        <v>#NAME?</v>
      </c>
      <c r="AU27" s="60" t="e">
        <f t="shared" ca="1" si="20"/>
        <v>#NAME?</v>
      </c>
      <c r="AV27" s="61" t="e">
        <f t="shared" ca="1" si="20"/>
        <v>#NAME?</v>
      </c>
      <c r="AW27" s="3"/>
      <c r="AX27" s="3"/>
    </row>
    <row r="28" spans="1:50" ht="18.75" customHeight="1">
      <c r="A28" s="3">
        <f t="shared" si="8"/>
        <v>0</v>
      </c>
      <c r="B28" s="23" t="s">
        <v>21</v>
      </c>
      <c r="C28" s="24" t="e">
        <f t="shared" ca="1" si="15"/>
        <v>#NAME?</v>
      </c>
      <c r="D28" s="25"/>
      <c r="E28" s="26"/>
      <c r="F28" s="27"/>
      <c r="G28" s="28"/>
      <c r="H28" s="34"/>
      <c r="I28" s="2"/>
      <c r="J28" s="2"/>
      <c r="K28" s="29">
        <f t="shared" si="9"/>
        <v>1.1000000000000001</v>
      </c>
      <c r="L28" s="29">
        <f t="shared" si="10"/>
        <v>1.375</v>
      </c>
      <c r="M28" s="29">
        <f t="shared" si="11"/>
        <v>0.375</v>
      </c>
      <c r="N28" s="30">
        <f t="shared" si="12"/>
        <v>5</v>
      </c>
      <c r="O28" s="31">
        <f t="shared" si="16"/>
        <v>19</v>
      </c>
      <c r="P28" s="82">
        <f t="shared" si="14"/>
        <v>21</v>
      </c>
      <c r="Q28" s="51" t="e">
        <f ca="1">WEEKNUM((DATE(YEAR(A1),MONTH(A1),1+1*7)-WEEKDAY(DATE(YEAR(A1),MONTH(A1),8-2))))</f>
        <v>#NAME?</v>
      </c>
      <c r="R28" s="62" t="e">
        <f ca="1">DATE(YEAR(A1),MONTH(A1),1+1*7)-WEEKDAY(DATE(YEAR(A1),MONTH(A1),8-2))</f>
        <v>#NAME?</v>
      </c>
      <c r="S28" s="63" t="e">
        <f t="shared" ref="S28:X28" ca="1" si="21">S27+7</f>
        <v>#NAME?</v>
      </c>
      <c r="T28" s="63" t="e">
        <f t="shared" ca="1" si="21"/>
        <v>#NAME?</v>
      </c>
      <c r="U28" s="63" t="e">
        <f t="shared" ca="1" si="21"/>
        <v>#NAME?</v>
      </c>
      <c r="V28" s="63" t="e">
        <f t="shared" ca="1" si="21"/>
        <v>#NAME?</v>
      </c>
      <c r="W28" s="64" t="e">
        <f t="shared" ca="1" si="21"/>
        <v>#NAME?</v>
      </c>
      <c r="X28" s="65" t="e">
        <f t="shared" ca="1" si="21"/>
        <v>#NAME?</v>
      </c>
      <c r="Y28" s="51" t="e">
        <f ca="1">WEEKNUM(DATE(YEAR(A1),MONTH(A1)+1,1+1*7)-WEEKDAY(DATE(YEAR(A1),MONTH(A1)+1,8-2)))</f>
        <v>#NAME?</v>
      </c>
      <c r="Z28" s="62" t="e">
        <f ca="1">DATE(YEAR(A1),MONTH(A1)+1,1+1*7)-WEEKDAY(DATE(YEAR(A1),MONTH(A1)+1,8-2))</f>
        <v>#NAME?</v>
      </c>
      <c r="AA28" s="63" t="e">
        <f t="shared" ref="AA28:AF28" ca="1" si="22">AA27+7</f>
        <v>#NAME?</v>
      </c>
      <c r="AB28" s="63" t="e">
        <f t="shared" ca="1" si="22"/>
        <v>#NAME?</v>
      </c>
      <c r="AC28" s="63" t="e">
        <f t="shared" ca="1" si="22"/>
        <v>#NAME?</v>
      </c>
      <c r="AD28" s="63" t="e">
        <f t="shared" ca="1" si="22"/>
        <v>#NAME?</v>
      </c>
      <c r="AE28" s="66" t="e">
        <f t="shared" ca="1" si="22"/>
        <v>#NAME?</v>
      </c>
      <c r="AF28" s="67" t="e">
        <f t="shared" ca="1" si="22"/>
        <v>#NAME?</v>
      </c>
      <c r="AG28" s="51" t="e">
        <f ca="1">WEEKNUM(DATE(YEAR(A1),MONTH(A1)+2,1+1*7)-WEEKDAY(DATE(YEAR(A1),MONTH(A1)+2,8-2)))</f>
        <v>#NAME?</v>
      </c>
      <c r="AH28" s="62" t="e">
        <f ca="1">DATE(YEAR(A1),MONTH(A1)+2,1+1*7)-WEEKDAY(DATE(YEAR(A1),MONTH(A1)+2,8-2))</f>
        <v>#NAME?</v>
      </c>
      <c r="AI28" s="63" t="e">
        <f t="shared" ref="AI28:AN28" ca="1" si="23">AI27+7</f>
        <v>#NAME?</v>
      </c>
      <c r="AJ28" s="63" t="e">
        <f t="shared" ca="1" si="23"/>
        <v>#NAME?</v>
      </c>
      <c r="AK28" s="63" t="e">
        <f t="shared" ca="1" si="23"/>
        <v>#NAME?</v>
      </c>
      <c r="AL28" s="63" t="e">
        <f t="shared" ca="1" si="23"/>
        <v>#NAME?</v>
      </c>
      <c r="AM28" s="68" t="e">
        <f t="shared" ca="1" si="23"/>
        <v>#NAME?</v>
      </c>
      <c r="AN28" s="69" t="e">
        <f t="shared" ca="1" si="23"/>
        <v>#NAME?</v>
      </c>
      <c r="AO28" s="51" t="e">
        <f ca="1">WEEKNUM(DATE(YEAR(A1),MONTH(A1)+3,1+1*7)-WEEKDAY(DATE(YEAR(A1),MONTH(A1)+3,8-2)))</f>
        <v>#NAME?</v>
      </c>
      <c r="AP28" s="62" t="e">
        <f ca="1">DATE(YEAR(A1),MONTH(A1)+3,1+1*7)-WEEKDAY(DATE(YEAR(A1),MONTH(A1)+3,8-2))</f>
        <v>#NAME?</v>
      </c>
      <c r="AQ28" s="63" t="e">
        <f t="shared" ref="AQ28:AV28" ca="1" si="24">AQ27+7</f>
        <v>#NAME?</v>
      </c>
      <c r="AR28" s="63" t="e">
        <f t="shared" ca="1" si="24"/>
        <v>#NAME?</v>
      </c>
      <c r="AS28" s="63" t="e">
        <f t="shared" ca="1" si="24"/>
        <v>#NAME?</v>
      </c>
      <c r="AT28" s="63" t="e">
        <f t="shared" ca="1" si="24"/>
        <v>#NAME?</v>
      </c>
      <c r="AU28" s="70" t="e">
        <f t="shared" ca="1" si="24"/>
        <v>#NAME?</v>
      </c>
      <c r="AV28" s="71" t="e">
        <f t="shared" ca="1" si="24"/>
        <v>#NAME?</v>
      </c>
      <c r="AW28" s="3"/>
      <c r="AX28" s="3"/>
    </row>
    <row r="29" spans="1:50" ht="18.75" customHeight="1">
      <c r="A29" s="3">
        <f t="shared" si="8"/>
        <v>0</v>
      </c>
      <c r="B29" s="38" t="s">
        <v>21</v>
      </c>
      <c r="C29" s="39" t="e">
        <f t="shared" ca="1" si="15"/>
        <v>#NAME?</v>
      </c>
      <c r="D29" s="25"/>
      <c r="E29" s="26"/>
      <c r="F29" s="27"/>
      <c r="G29" s="28"/>
      <c r="H29" s="34"/>
      <c r="I29" s="2"/>
      <c r="J29" s="2"/>
      <c r="K29" s="29">
        <f t="shared" si="9"/>
        <v>0.6</v>
      </c>
      <c r="L29" s="29">
        <f t="shared" si="10"/>
        <v>0.75</v>
      </c>
      <c r="M29" s="29">
        <f t="shared" si="11"/>
        <v>0</v>
      </c>
      <c r="N29" s="30">
        <f t="shared" si="12"/>
        <v>5</v>
      </c>
      <c r="O29" s="31">
        <f t="shared" si="16"/>
        <v>24</v>
      </c>
      <c r="P29" s="82">
        <f t="shared" si="14"/>
        <v>24</v>
      </c>
      <c r="Q29" s="51" t="e">
        <f t="shared" ref="Q29:Q31" ca="1" si="25">Q28+1</f>
        <v>#NAME?</v>
      </c>
      <c r="R29" s="62" t="e">
        <f t="shared" ref="R29:X29" ca="1" si="26">R28+7</f>
        <v>#NAME?</v>
      </c>
      <c r="S29" s="63" t="e">
        <f t="shared" ca="1" si="26"/>
        <v>#NAME?</v>
      </c>
      <c r="T29" s="63" t="e">
        <f t="shared" ca="1" si="26"/>
        <v>#NAME?</v>
      </c>
      <c r="U29" s="63" t="e">
        <f t="shared" ca="1" si="26"/>
        <v>#NAME?</v>
      </c>
      <c r="V29" s="63" t="e">
        <f t="shared" ca="1" si="26"/>
        <v>#NAME?</v>
      </c>
      <c r="W29" s="64" t="e">
        <f t="shared" ca="1" si="26"/>
        <v>#NAME?</v>
      </c>
      <c r="X29" s="65" t="e">
        <f t="shared" ca="1" si="26"/>
        <v>#NAME?</v>
      </c>
      <c r="Y29" s="51" t="e">
        <f t="shared" ref="Y29:Y31" ca="1" si="27">Y28+1</f>
        <v>#NAME?</v>
      </c>
      <c r="Z29" s="62" t="e">
        <f t="shared" ref="Z29:AF29" ca="1" si="28">Z28+7</f>
        <v>#NAME?</v>
      </c>
      <c r="AA29" s="63" t="e">
        <f t="shared" ca="1" si="28"/>
        <v>#NAME?</v>
      </c>
      <c r="AB29" s="63" t="e">
        <f t="shared" ca="1" si="28"/>
        <v>#NAME?</v>
      </c>
      <c r="AC29" s="63" t="e">
        <f t="shared" ca="1" si="28"/>
        <v>#NAME?</v>
      </c>
      <c r="AD29" s="63" t="e">
        <f t="shared" ca="1" si="28"/>
        <v>#NAME?</v>
      </c>
      <c r="AE29" s="66" t="e">
        <f t="shared" ca="1" si="28"/>
        <v>#NAME?</v>
      </c>
      <c r="AF29" s="67" t="e">
        <f t="shared" ca="1" si="28"/>
        <v>#NAME?</v>
      </c>
      <c r="AG29" s="51" t="e">
        <f t="shared" ref="AG29:AG31" ca="1" si="29">AG28+1</f>
        <v>#NAME?</v>
      </c>
      <c r="AH29" s="62" t="e">
        <f t="shared" ref="AH29:AN29" ca="1" si="30">AH28+7</f>
        <v>#NAME?</v>
      </c>
      <c r="AI29" s="63" t="e">
        <f t="shared" ca="1" si="30"/>
        <v>#NAME?</v>
      </c>
      <c r="AJ29" s="63" t="e">
        <f t="shared" ca="1" si="30"/>
        <v>#NAME?</v>
      </c>
      <c r="AK29" s="63" t="e">
        <f t="shared" ca="1" si="30"/>
        <v>#NAME?</v>
      </c>
      <c r="AL29" s="63" t="e">
        <f t="shared" ca="1" si="30"/>
        <v>#NAME?</v>
      </c>
      <c r="AM29" s="68" t="e">
        <f t="shared" ca="1" si="30"/>
        <v>#NAME?</v>
      </c>
      <c r="AN29" s="69" t="e">
        <f t="shared" ca="1" si="30"/>
        <v>#NAME?</v>
      </c>
      <c r="AO29" s="51" t="e">
        <f t="shared" ref="AO29:AO31" ca="1" si="31">AO28+1</f>
        <v>#NAME?</v>
      </c>
      <c r="AP29" s="62" t="e">
        <f t="shared" ref="AP29:AV29" ca="1" si="32">AP28+7</f>
        <v>#NAME?</v>
      </c>
      <c r="AQ29" s="63" t="e">
        <f t="shared" ca="1" si="32"/>
        <v>#NAME?</v>
      </c>
      <c r="AR29" s="63" t="e">
        <f t="shared" ca="1" si="32"/>
        <v>#NAME?</v>
      </c>
      <c r="AS29" s="63" t="e">
        <f t="shared" ca="1" si="32"/>
        <v>#NAME?</v>
      </c>
      <c r="AT29" s="63" t="e">
        <f t="shared" ca="1" si="32"/>
        <v>#NAME?</v>
      </c>
      <c r="AU29" s="70" t="e">
        <f t="shared" ca="1" si="32"/>
        <v>#NAME?</v>
      </c>
      <c r="AV29" s="71" t="e">
        <f t="shared" ca="1" si="32"/>
        <v>#NAME?</v>
      </c>
      <c r="AW29" s="3"/>
      <c r="AX29" s="3"/>
    </row>
    <row r="30" spans="1:50" ht="18.75" customHeight="1">
      <c r="A30" s="3">
        <f t="shared" si="8"/>
        <v>0</v>
      </c>
      <c r="B30" s="23" t="s">
        <v>21</v>
      </c>
      <c r="C30" s="24" t="e">
        <f t="shared" ca="1" si="15"/>
        <v>#NAME?</v>
      </c>
      <c r="D30" s="25"/>
      <c r="E30" s="32"/>
      <c r="F30" s="27"/>
      <c r="G30" s="28"/>
      <c r="H30" s="34"/>
      <c r="I30" s="2"/>
      <c r="J30" s="2"/>
      <c r="K30" s="29">
        <f t="shared" si="9"/>
        <v>0.3</v>
      </c>
      <c r="L30" s="29">
        <f t="shared" si="10"/>
        <v>0.375</v>
      </c>
      <c r="M30" s="29">
        <f t="shared" si="11"/>
        <v>0</v>
      </c>
      <c r="N30" s="30">
        <f t="shared" si="12"/>
        <v>5</v>
      </c>
      <c r="O30" s="31">
        <f t="shared" si="16"/>
        <v>27</v>
      </c>
      <c r="P30" s="82">
        <f t="shared" si="14"/>
        <v>24</v>
      </c>
      <c r="Q30" s="51" t="e">
        <f t="shared" ca="1" si="25"/>
        <v>#NAME?</v>
      </c>
      <c r="R30" s="62" t="e">
        <f t="shared" ref="R30:X30" ca="1" si="33">R29+7</f>
        <v>#NAME?</v>
      </c>
      <c r="S30" s="63" t="e">
        <f t="shared" ca="1" si="33"/>
        <v>#NAME?</v>
      </c>
      <c r="T30" s="63" t="e">
        <f t="shared" ca="1" si="33"/>
        <v>#NAME?</v>
      </c>
      <c r="U30" s="63" t="e">
        <f t="shared" ca="1" si="33"/>
        <v>#NAME?</v>
      </c>
      <c r="V30" s="63" t="e">
        <f t="shared" ca="1" si="33"/>
        <v>#NAME?</v>
      </c>
      <c r="W30" s="64" t="e">
        <f t="shared" ca="1" si="33"/>
        <v>#NAME?</v>
      </c>
      <c r="X30" s="65" t="e">
        <f t="shared" ca="1" si="33"/>
        <v>#NAME?</v>
      </c>
      <c r="Y30" s="51" t="e">
        <f t="shared" ca="1" si="27"/>
        <v>#NAME?</v>
      </c>
      <c r="Z30" s="62" t="e">
        <f t="shared" ref="Z30:AF30" ca="1" si="34">Z29+7</f>
        <v>#NAME?</v>
      </c>
      <c r="AA30" s="63" t="e">
        <f t="shared" ca="1" si="34"/>
        <v>#NAME?</v>
      </c>
      <c r="AB30" s="63" t="e">
        <f t="shared" ca="1" si="34"/>
        <v>#NAME?</v>
      </c>
      <c r="AC30" s="63" t="e">
        <f t="shared" ca="1" si="34"/>
        <v>#NAME?</v>
      </c>
      <c r="AD30" s="63" t="e">
        <f t="shared" ca="1" si="34"/>
        <v>#NAME?</v>
      </c>
      <c r="AE30" s="66" t="e">
        <f t="shared" ca="1" si="34"/>
        <v>#NAME?</v>
      </c>
      <c r="AF30" s="67" t="e">
        <f t="shared" ca="1" si="34"/>
        <v>#NAME?</v>
      </c>
      <c r="AG30" s="51" t="e">
        <f t="shared" ca="1" si="29"/>
        <v>#NAME?</v>
      </c>
      <c r="AH30" s="62" t="e">
        <f t="shared" ref="AH30:AN30" ca="1" si="35">AH29+7</f>
        <v>#NAME?</v>
      </c>
      <c r="AI30" s="63" t="e">
        <f t="shared" ca="1" si="35"/>
        <v>#NAME?</v>
      </c>
      <c r="AJ30" s="63" t="e">
        <f t="shared" ca="1" si="35"/>
        <v>#NAME?</v>
      </c>
      <c r="AK30" s="63" t="e">
        <f t="shared" ca="1" si="35"/>
        <v>#NAME?</v>
      </c>
      <c r="AL30" s="63" t="e">
        <f t="shared" ca="1" si="35"/>
        <v>#NAME?</v>
      </c>
      <c r="AM30" s="68" t="e">
        <f t="shared" ca="1" si="35"/>
        <v>#NAME?</v>
      </c>
      <c r="AN30" s="69" t="e">
        <f t="shared" ca="1" si="35"/>
        <v>#NAME?</v>
      </c>
      <c r="AO30" s="51" t="e">
        <f t="shared" ca="1" si="31"/>
        <v>#NAME?</v>
      </c>
      <c r="AP30" s="62" t="e">
        <f t="shared" ref="AP30:AV30" ca="1" si="36">AP29+7</f>
        <v>#NAME?</v>
      </c>
      <c r="AQ30" s="63" t="e">
        <f t="shared" ca="1" si="36"/>
        <v>#NAME?</v>
      </c>
      <c r="AR30" s="63" t="e">
        <f t="shared" ca="1" si="36"/>
        <v>#NAME?</v>
      </c>
      <c r="AS30" s="63" t="e">
        <f t="shared" ca="1" si="36"/>
        <v>#NAME?</v>
      </c>
      <c r="AT30" s="63" t="e">
        <f t="shared" ca="1" si="36"/>
        <v>#NAME?</v>
      </c>
      <c r="AU30" s="70" t="e">
        <f t="shared" ca="1" si="36"/>
        <v>#NAME?</v>
      </c>
      <c r="AV30" s="71" t="e">
        <f t="shared" ca="1" si="36"/>
        <v>#NAME?</v>
      </c>
      <c r="AW30" s="3"/>
      <c r="AX30" s="3"/>
    </row>
    <row r="31" spans="1:50" ht="18.75" customHeight="1">
      <c r="A31" s="3">
        <f t="shared" si="8"/>
        <v>0</v>
      </c>
      <c r="B31" s="23" t="s">
        <v>21</v>
      </c>
      <c r="C31" s="24" t="e">
        <f t="shared" ca="1" si="15"/>
        <v>#NAME?</v>
      </c>
      <c r="D31" s="25"/>
      <c r="E31" s="26"/>
      <c r="F31" s="27"/>
      <c r="G31" s="28"/>
      <c r="H31" s="34"/>
      <c r="I31" s="2"/>
      <c r="J31" s="2"/>
      <c r="K31" s="29">
        <f t="shared" si="9"/>
        <v>0</v>
      </c>
      <c r="L31" s="29">
        <f t="shared" si="10"/>
        <v>0</v>
      </c>
      <c r="M31" s="29">
        <f t="shared" si="11"/>
        <v>0</v>
      </c>
      <c r="N31" s="30">
        <f t="shared" si="12"/>
        <v>5</v>
      </c>
      <c r="O31" s="31">
        <f t="shared" si="16"/>
        <v>30</v>
      </c>
      <c r="P31" s="82">
        <f t="shared" si="14"/>
        <v>24</v>
      </c>
      <c r="Q31" s="51" t="e">
        <f t="shared" ca="1" si="25"/>
        <v>#NAME?</v>
      </c>
      <c r="R31" s="62" t="e">
        <f t="shared" ref="R31:X31" ca="1" si="37">R30+7</f>
        <v>#NAME?</v>
      </c>
      <c r="S31" s="63" t="e">
        <f t="shared" ca="1" si="37"/>
        <v>#NAME?</v>
      </c>
      <c r="T31" s="63" t="e">
        <f t="shared" ca="1" si="37"/>
        <v>#NAME?</v>
      </c>
      <c r="U31" s="63" t="e">
        <f t="shared" ca="1" si="37"/>
        <v>#NAME?</v>
      </c>
      <c r="V31" s="63" t="e">
        <f t="shared" ca="1" si="37"/>
        <v>#NAME?</v>
      </c>
      <c r="W31" s="64" t="e">
        <f t="shared" ca="1" si="37"/>
        <v>#NAME?</v>
      </c>
      <c r="X31" s="65" t="e">
        <f t="shared" ca="1" si="37"/>
        <v>#NAME?</v>
      </c>
      <c r="Y31" s="51" t="e">
        <f t="shared" ca="1" si="27"/>
        <v>#NAME?</v>
      </c>
      <c r="Z31" s="62" t="e">
        <f t="shared" ref="Z31:AF31" ca="1" si="38">Z30+7</f>
        <v>#NAME?</v>
      </c>
      <c r="AA31" s="63" t="e">
        <f t="shared" ca="1" si="38"/>
        <v>#NAME?</v>
      </c>
      <c r="AB31" s="63" t="e">
        <f t="shared" ca="1" si="38"/>
        <v>#NAME?</v>
      </c>
      <c r="AC31" s="63" t="e">
        <f t="shared" ca="1" si="38"/>
        <v>#NAME?</v>
      </c>
      <c r="AD31" s="63" t="e">
        <f t="shared" ca="1" si="38"/>
        <v>#NAME?</v>
      </c>
      <c r="AE31" s="66" t="e">
        <f t="shared" ca="1" si="38"/>
        <v>#NAME?</v>
      </c>
      <c r="AF31" s="67" t="e">
        <f t="shared" ca="1" si="38"/>
        <v>#NAME?</v>
      </c>
      <c r="AG31" s="51" t="e">
        <f t="shared" ca="1" si="29"/>
        <v>#NAME?</v>
      </c>
      <c r="AH31" s="62" t="e">
        <f t="shared" ref="AH31:AN31" ca="1" si="39">AH30+7</f>
        <v>#NAME?</v>
      </c>
      <c r="AI31" s="63" t="e">
        <f t="shared" ca="1" si="39"/>
        <v>#NAME?</v>
      </c>
      <c r="AJ31" s="63" t="e">
        <f t="shared" ca="1" si="39"/>
        <v>#NAME?</v>
      </c>
      <c r="AK31" s="63" t="e">
        <f t="shared" ca="1" si="39"/>
        <v>#NAME?</v>
      </c>
      <c r="AL31" s="63" t="e">
        <f t="shared" ca="1" si="39"/>
        <v>#NAME?</v>
      </c>
      <c r="AM31" s="68" t="e">
        <f t="shared" ca="1" si="39"/>
        <v>#NAME?</v>
      </c>
      <c r="AN31" s="69" t="e">
        <f t="shared" ca="1" si="39"/>
        <v>#NAME?</v>
      </c>
      <c r="AO31" s="51" t="e">
        <f t="shared" ca="1" si="31"/>
        <v>#NAME?</v>
      </c>
      <c r="AP31" s="62" t="e">
        <f t="shared" ref="AP31:AV31" ca="1" si="40">AP30+7</f>
        <v>#NAME?</v>
      </c>
      <c r="AQ31" s="63" t="e">
        <f t="shared" ca="1" si="40"/>
        <v>#NAME?</v>
      </c>
      <c r="AR31" s="63" t="e">
        <f t="shared" ca="1" si="40"/>
        <v>#NAME?</v>
      </c>
      <c r="AS31" s="63" t="e">
        <f t="shared" ca="1" si="40"/>
        <v>#NAME?</v>
      </c>
      <c r="AT31" s="63" t="e">
        <f t="shared" ca="1" si="40"/>
        <v>#NAME?</v>
      </c>
      <c r="AU31" s="70" t="e">
        <f t="shared" ca="1" si="40"/>
        <v>#NAME?</v>
      </c>
      <c r="AV31" s="71" t="e">
        <f t="shared" ca="1" si="40"/>
        <v>#NAME?</v>
      </c>
      <c r="AW31" s="3"/>
      <c r="AX31" s="3"/>
    </row>
    <row r="32" spans="1:50" ht="18.75" customHeight="1">
      <c r="A32" s="3">
        <f t="shared" si="8"/>
        <v>0</v>
      </c>
      <c r="B32" s="23" t="s">
        <v>21</v>
      </c>
      <c r="C32" s="24" t="e">
        <f t="shared" ca="1" si="15"/>
        <v>#NAME?</v>
      </c>
      <c r="D32" s="25"/>
      <c r="E32" s="26"/>
      <c r="F32" s="27"/>
      <c r="G32" s="28"/>
      <c r="H32" s="34"/>
      <c r="I32" s="2"/>
      <c r="J32" s="2"/>
      <c r="K32" s="29">
        <f t="shared" si="9"/>
        <v>0</v>
      </c>
      <c r="L32" s="29">
        <f t="shared" si="10"/>
        <v>0</v>
      </c>
      <c r="M32" s="29">
        <f t="shared" si="11"/>
        <v>0</v>
      </c>
      <c r="N32" s="30">
        <f t="shared" si="12"/>
        <v>5</v>
      </c>
      <c r="O32" s="31">
        <f t="shared" si="16"/>
        <v>30</v>
      </c>
      <c r="P32" s="82">
        <f t="shared" si="14"/>
        <v>24</v>
      </c>
      <c r="Q32" s="51" t="e">
        <f ca="1">IF(Q31=52,1,Q31+1)</f>
        <v>#NAME?</v>
      </c>
      <c r="R32" s="72" t="e">
        <f t="shared" ref="R32:X32" ca="1" si="41">R31+7</f>
        <v>#NAME?</v>
      </c>
      <c r="S32" s="73" t="e">
        <f t="shared" ca="1" si="41"/>
        <v>#NAME?</v>
      </c>
      <c r="T32" s="73" t="e">
        <f t="shared" ca="1" si="41"/>
        <v>#NAME?</v>
      </c>
      <c r="U32" s="73" t="e">
        <f t="shared" ca="1" si="41"/>
        <v>#NAME?</v>
      </c>
      <c r="V32" s="73" t="e">
        <f t="shared" ca="1" si="41"/>
        <v>#NAME?</v>
      </c>
      <c r="W32" s="74" t="e">
        <f t="shared" ca="1" si="41"/>
        <v>#NAME?</v>
      </c>
      <c r="X32" s="75" t="e">
        <f t="shared" ca="1" si="41"/>
        <v>#NAME?</v>
      </c>
      <c r="Y32" s="51" t="e">
        <f ca="1">IF(Y31=52,1,Y31+1)</f>
        <v>#NAME?</v>
      </c>
      <c r="Z32" s="72" t="e">
        <f t="shared" ref="Z32:AF32" ca="1" si="42">Z31+7</f>
        <v>#NAME?</v>
      </c>
      <c r="AA32" s="73" t="e">
        <f t="shared" ca="1" si="42"/>
        <v>#NAME?</v>
      </c>
      <c r="AB32" s="73" t="e">
        <f t="shared" ca="1" si="42"/>
        <v>#NAME?</v>
      </c>
      <c r="AC32" s="73" t="e">
        <f t="shared" ca="1" si="42"/>
        <v>#NAME?</v>
      </c>
      <c r="AD32" s="73" t="e">
        <f t="shared" ca="1" si="42"/>
        <v>#NAME?</v>
      </c>
      <c r="AE32" s="76" t="e">
        <f t="shared" ca="1" si="42"/>
        <v>#NAME?</v>
      </c>
      <c r="AF32" s="77" t="e">
        <f t="shared" ca="1" si="42"/>
        <v>#NAME?</v>
      </c>
      <c r="AG32" s="51" t="e">
        <f ca="1">IF(AG31=52,1,AG31+1)</f>
        <v>#NAME?</v>
      </c>
      <c r="AH32" s="72" t="e">
        <f t="shared" ref="AH32:AN32" ca="1" si="43">AH31+7</f>
        <v>#NAME?</v>
      </c>
      <c r="AI32" s="73" t="e">
        <f t="shared" ca="1" si="43"/>
        <v>#NAME?</v>
      </c>
      <c r="AJ32" s="73" t="e">
        <f t="shared" ca="1" si="43"/>
        <v>#NAME?</v>
      </c>
      <c r="AK32" s="73" t="e">
        <f t="shared" ca="1" si="43"/>
        <v>#NAME?</v>
      </c>
      <c r="AL32" s="73" t="e">
        <f t="shared" ca="1" si="43"/>
        <v>#NAME?</v>
      </c>
      <c r="AM32" s="78" t="e">
        <f t="shared" ca="1" si="43"/>
        <v>#NAME?</v>
      </c>
      <c r="AN32" s="79" t="e">
        <f t="shared" ca="1" si="43"/>
        <v>#NAME?</v>
      </c>
      <c r="AO32" s="51" t="e">
        <f ca="1">IF(AO31=52,1,AO31+1)</f>
        <v>#NAME?</v>
      </c>
      <c r="AP32" s="72" t="e">
        <f t="shared" ref="AP32:AV32" ca="1" si="44">AP31+7</f>
        <v>#NAME?</v>
      </c>
      <c r="AQ32" s="73" t="e">
        <f t="shared" ca="1" si="44"/>
        <v>#NAME?</v>
      </c>
      <c r="AR32" s="73" t="e">
        <f t="shared" ca="1" si="44"/>
        <v>#NAME?</v>
      </c>
      <c r="AS32" s="73" t="e">
        <f t="shared" ca="1" si="44"/>
        <v>#NAME?</v>
      </c>
      <c r="AT32" s="73" t="e">
        <f t="shared" ca="1" si="44"/>
        <v>#NAME?</v>
      </c>
      <c r="AU32" s="80" t="e">
        <f t="shared" ca="1" si="44"/>
        <v>#NAME?</v>
      </c>
      <c r="AV32" s="81" t="e">
        <f t="shared" ca="1" si="44"/>
        <v>#NAME?</v>
      </c>
      <c r="AW32" s="3"/>
      <c r="AX32" s="3"/>
    </row>
    <row r="33" spans="1:50" ht="18.75" customHeight="1">
      <c r="A33" s="3">
        <f t="shared" si="8"/>
        <v>0</v>
      </c>
      <c r="B33" s="23" t="s">
        <v>21</v>
      </c>
      <c r="C33" s="24" t="e">
        <f t="shared" ca="1" si="15"/>
        <v>#NAME?</v>
      </c>
      <c r="D33" s="25"/>
      <c r="E33" s="26"/>
      <c r="F33" s="27"/>
      <c r="G33" s="28"/>
      <c r="H33" s="34"/>
      <c r="I33" s="2"/>
      <c r="J33" s="2"/>
      <c r="K33" s="29">
        <f t="shared" si="9"/>
        <v>0</v>
      </c>
      <c r="L33" s="29">
        <f t="shared" si="10"/>
        <v>0</v>
      </c>
      <c r="M33" s="29">
        <f t="shared" si="11"/>
        <v>0</v>
      </c>
      <c r="N33" s="30">
        <f t="shared" si="12"/>
        <v>5</v>
      </c>
      <c r="O33" s="31">
        <f t="shared" si="16"/>
        <v>30</v>
      </c>
      <c r="P33" s="82">
        <f t="shared" si="14"/>
        <v>24</v>
      </c>
      <c r="Q33" s="82"/>
      <c r="R33" s="83" t="e">
        <f ca="1">IF(R22+4&gt;12,R22+4-12,R22+4)</f>
        <v>#NAME?</v>
      </c>
      <c r="S33" s="15"/>
      <c r="T33" s="15"/>
      <c r="U33" s="15"/>
      <c r="V33" s="15"/>
      <c r="W33" s="15"/>
      <c r="X33" s="15"/>
      <c r="Y33" s="13"/>
      <c r="Z33" s="83" t="e">
        <f ca="1">IF(Z22+4&gt;12,Z22+4-12,Z22+4)</f>
        <v>#NAME?</v>
      </c>
      <c r="AA33" s="15"/>
      <c r="AB33" s="15"/>
      <c r="AC33" s="15"/>
      <c r="AD33" s="15"/>
      <c r="AE33" s="15"/>
      <c r="AF33" s="15"/>
      <c r="AG33" s="15"/>
      <c r="AH33" s="83" t="e">
        <f ca="1">IF(AH22+4&gt;12,AH22+4-12,AH22+4)</f>
        <v>#NAME?</v>
      </c>
      <c r="AI33" s="15"/>
      <c r="AJ33" s="15"/>
      <c r="AK33" s="15"/>
      <c r="AL33" s="15"/>
      <c r="AM33" s="15"/>
      <c r="AN33" s="15"/>
      <c r="AO33" s="13"/>
      <c r="AP33" s="83" t="e">
        <f ca="1">IF(AP22+4&gt;12,AP22+4-12,AP22+4)</f>
        <v>#NAME?</v>
      </c>
      <c r="AQ33" s="15"/>
      <c r="AR33" s="15"/>
      <c r="AS33" s="15"/>
      <c r="AT33" s="15"/>
      <c r="AU33" s="15"/>
      <c r="AV33" s="15"/>
      <c r="AW33" s="3"/>
      <c r="AX33" s="3"/>
    </row>
    <row r="34" spans="1:50" ht="18.75" customHeight="1">
      <c r="A34" s="3">
        <f t="shared" si="8"/>
        <v>0</v>
      </c>
      <c r="B34" s="23" t="s">
        <v>21</v>
      </c>
      <c r="C34" s="24" t="e">
        <f t="shared" ca="1" si="15"/>
        <v>#NAME?</v>
      </c>
      <c r="D34" s="25"/>
      <c r="E34" s="26"/>
      <c r="F34" s="27"/>
      <c r="G34" s="28"/>
      <c r="H34" s="34"/>
      <c r="I34" s="2"/>
      <c r="J34" s="2"/>
      <c r="K34" s="29">
        <f t="shared" si="9"/>
        <v>0</v>
      </c>
      <c r="L34" s="29">
        <f t="shared" si="10"/>
        <v>0</v>
      </c>
      <c r="M34" s="29">
        <f t="shared" si="11"/>
        <v>0</v>
      </c>
      <c r="N34" s="30">
        <f t="shared" si="12"/>
        <v>5</v>
      </c>
      <c r="O34" s="31">
        <f t="shared" si="16"/>
        <v>30</v>
      </c>
      <c r="P34" s="82">
        <f t="shared" si="14"/>
        <v>24</v>
      </c>
      <c r="Q34" s="8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3"/>
      <c r="AX34" s="3"/>
    </row>
    <row r="35" spans="1:50" ht="18.75" customHeight="1">
      <c r="A35" s="3">
        <f t="shared" si="8"/>
        <v>0</v>
      </c>
      <c r="B35" s="23" t="s">
        <v>21</v>
      </c>
      <c r="C35" s="24" t="e">
        <f t="shared" ca="1" si="15"/>
        <v>#NAME?</v>
      </c>
      <c r="D35" s="25"/>
      <c r="E35" s="26"/>
      <c r="F35" s="27"/>
      <c r="G35" s="28"/>
      <c r="H35" s="34"/>
      <c r="I35" s="2"/>
      <c r="J35" s="2"/>
      <c r="K35" s="29">
        <f t="shared" si="9"/>
        <v>0</v>
      </c>
      <c r="L35" s="29">
        <f t="shared" si="10"/>
        <v>0</v>
      </c>
      <c r="M35" s="29">
        <f t="shared" si="11"/>
        <v>0</v>
      </c>
      <c r="N35" s="30">
        <f t="shared" si="12"/>
        <v>5</v>
      </c>
      <c r="O35" s="31">
        <f t="shared" si="16"/>
        <v>30</v>
      </c>
      <c r="P35" s="82">
        <f t="shared" si="14"/>
        <v>24</v>
      </c>
      <c r="Q35" s="3"/>
      <c r="R35" s="114" t="e">
        <f ca="1">_xludf.IFS(R33=1,"J A N U A R Y",R33=2,"F E B R U A R Y",R33=3,"M A R C H",R33=4,"A P R I L",R33=5, "M A Y",R33=6, "J U N E",R33=7, "J U L Y",R33=8,"A U G U S T ",R33=9,"S E P T E M B E R ",R33=10,"O C T O B E R",R33=11,"N O V E M B E R",R33=12,"D E C E M B E R")</f>
        <v>#NAME?</v>
      </c>
      <c r="S35" s="108"/>
      <c r="T35" s="108"/>
      <c r="U35" s="108"/>
      <c r="V35" s="108"/>
      <c r="W35" s="108"/>
      <c r="X35" s="109"/>
      <c r="Y35" s="4"/>
      <c r="Z35" s="107" t="e">
        <f ca="1">_xludf.IFS(Z33=1,"J A N U A R Y",Z33=2,"F E B R U A R Y",Z33=3,"M A R C H",Z33=4,"A P R I L",Z33=5, "M A Y",Z33=6, "J U N E",Z33=7, "J U L Y",Z33=8,"A U G U S T ",Z33=9,"S E P T E M B E R ",Z33=10,"O C T O B E R",Z33=11,"N O V E M B E R",Z33=12,"D E C E M B E R")</f>
        <v>#NAME?</v>
      </c>
      <c r="AA35" s="108"/>
      <c r="AB35" s="108"/>
      <c r="AC35" s="108"/>
      <c r="AD35" s="108"/>
      <c r="AE35" s="108"/>
      <c r="AF35" s="109"/>
      <c r="AG35" s="4"/>
      <c r="AH35" s="113" t="e">
        <f ca="1">_xludf.IFS(AH33=1,"J A N U A R Y",AH33=2,"F E B R U A R Y",AH33=3,"M A R C H",AH33=4,"A P R I L",AH33=5, "M A Y",AH33=6, "J U N E",AH33=7, "J U L Y",AH33=8,"A U G U S T ",AH33=9,"S E P T E M B E R ",AH33=10,"O C T O B E R",AH33=11,"N O V E M B E R",AH33=12,"D E C E M B E R")</f>
        <v>#NAME?</v>
      </c>
      <c r="AI35" s="108"/>
      <c r="AJ35" s="108"/>
      <c r="AK35" s="108"/>
      <c r="AL35" s="108"/>
      <c r="AM35" s="108"/>
      <c r="AN35" s="109"/>
      <c r="AO35" s="4"/>
      <c r="AP35" s="115" t="e">
        <f ca="1">_xludf.IFS(AP33=1,"J A N U A R Y",AP33=2,"F E B R U A R Y",AP33=3,"M A R C H",AP33=4,"A P R I L",AP33=5, "M A Y",AP33=6, "J U N E",AP33=7, "J U L Y",AP33=8,"A U G U S T ",AP33=9,"S E P T E M B E R ",AP33=10,"O C T O B E R",AP33=11,"N O V E M B E R",AP33=12,"D E C E M B E R")</f>
        <v>#NAME?</v>
      </c>
      <c r="AQ35" s="108"/>
      <c r="AR35" s="108"/>
      <c r="AS35" s="108"/>
      <c r="AT35" s="108"/>
      <c r="AU35" s="108"/>
      <c r="AV35" s="109"/>
      <c r="AW35" s="3"/>
      <c r="AX35" s="3"/>
    </row>
    <row r="36" spans="1:50" ht="18.75" customHeight="1">
      <c r="A36" s="3">
        <f t="shared" si="8"/>
        <v>0</v>
      </c>
      <c r="B36" s="38" t="s">
        <v>21</v>
      </c>
      <c r="C36" s="39" t="e">
        <f t="shared" ca="1" si="15"/>
        <v>#NAME?</v>
      </c>
      <c r="D36" s="25"/>
      <c r="E36" s="26"/>
      <c r="F36" s="27"/>
      <c r="G36" s="28"/>
      <c r="H36" s="34"/>
      <c r="I36" s="2"/>
      <c r="J36" s="2"/>
      <c r="K36" s="29">
        <f t="shared" si="9"/>
        <v>0</v>
      </c>
      <c r="L36" s="29">
        <f t="shared" si="10"/>
        <v>0</v>
      </c>
      <c r="M36" s="29">
        <f t="shared" si="11"/>
        <v>0</v>
      </c>
      <c r="N36" s="30">
        <f t="shared" si="12"/>
        <v>5</v>
      </c>
      <c r="O36" s="31">
        <f t="shared" si="16"/>
        <v>30</v>
      </c>
      <c r="P36" s="82">
        <f t="shared" si="14"/>
        <v>24</v>
      </c>
      <c r="Q36" s="3"/>
      <c r="R36" s="110"/>
      <c r="S36" s="111"/>
      <c r="T36" s="111"/>
      <c r="U36" s="111"/>
      <c r="V36" s="111"/>
      <c r="W36" s="111"/>
      <c r="X36" s="112"/>
      <c r="Y36" s="4"/>
      <c r="Z36" s="110"/>
      <c r="AA36" s="111"/>
      <c r="AB36" s="111"/>
      <c r="AC36" s="111"/>
      <c r="AD36" s="111"/>
      <c r="AE36" s="111"/>
      <c r="AF36" s="112"/>
      <c r="AG36" s="4"/>
      <c r="AH36" s="110"/>
      <c r="AI36" s="111"/>
      <c r="AJ36" s="111"/>
      <c r="AK36" s="111"/>
      <c r="AL36" s="111"/>
      <c r="AM36" s="111"/>
      <c r="AN36" s="112"/>
      <c r="AO36" s="4"/>
      <c r="AP36" s="110"/>
      <c r="AQ36" s="111"/>
      <c r="AR36" s="111"/>
      <c r="AS36" s="111"/>
      <c r="AT36" s="111"/>
      <c r="AU36" s="111"/>
      <c r="AV36" s="112"/>
      <c r="AW36" s="3"/>
      <c r="AX36" s="3"/>
    </row>
    <row r="37" spans="1:50" ht="18.75" customHeight="1">
      <c r="A37" s="3">
        <f t="shared" si="8"/>
        <v>0</v>
      </c>
      <c r="B37" s="23" t="s">
        <v>21</v>
      </c>
      <c r="C37" s="24" t="e">
        <f t="shared" ca="1" si="15"/>
        <v>#NAME?</v>
      </c>
      <c r="D37" s="25"/>
      <c r="E37" s="26"/>
      <c r="F37" s="27"/>
      <c r="G37" s="28"/>
      <c r="H37" s="34"/>
      <c r="I37" s="2"/>
      <c r="J37" s="2"/>
      <c r="K37" s="29">
        <f t="shared" si="9"/>
        <v>0</v>
      </c>
      <c r="L37" s="29">
        <f t="shared" si="10"/>
        <v>0</v>
      </c>
      <c r="M37" s="29">
        <f t="shared" si="11"/>
        <v>0</v>
      </c>
      <c r="N37" s="30">
        <f t="shared" si="12"/>
        <v>5</v>
      </c>
      <c r="O37" s="31">
        <f t="shared" si="16"/>
        <v>30</v>
      </c>
      <c r="P37" s="82">
        <f t="shared" si="14"/>
        <v>24</v>
      </c>
      <c r="Q37" s="3"/>
      <c r="R37" s="84" t="s">
        <v>16</v>
      </c>
      <c r="S37" s="85" t="s">
        <v>17</v>
      </c>
      <c r="T37" s="85" t="s">
        <v>6</v>
      </c>
      <c r="U37" s="85" t="s">
        <v>18</v>
      </c>
      <c r="V37" s="85" t="s">
        <v>19</v>
      </c>
      <c r="W37" s="85" t="s">
        <v>22</v>
      </c>
      <c r="X37" s="86" t="s">
        <v>23</v>
      </c>
      <c r="Y37" s="43"/>
      <c r="Z37" s="40" t="s">
        <v>16</v>
      </c>
      <c r="AA37" s="41" t="s">
        <v>17</v>
      </c>
      <c r="AB37" s="41" t="s">
        <v>6</v>
      </c>
      <c r="AC37" s="41" t="s">
        <v>18</v>
      </c>
      <c r="AD37" s="41" t="s">
        <v>19</v>
      </c>
      <c r="AE37" s="41" t="s">
        <v>22</v>
      </c>
      <c r="AF37" s="42" t="s">
        <v>23</v>
      </c>
      <c r="AG37" s="87"/>
      <c r="AH37" s="38" t="s">
        <v>16</v>
      </c>
      <c r="AI37" s="39" t="s">
        <v>17</v>
      </c>
      <c r="AJ37" s="39" t="s">
        <v>6</v>
      </c>
      <c r="AK37" s="39" t="s">
        <v>18</v>
      </c>
      <c r="AL37" s="39" t="s">
        <v>19</v>
      </c>
      <c r="AM37" s="39" t="s">
        <v>22</v>
      </c>
      <c r="AN37" s="44" t="s">
        <v>23</v>
      </c>
      <c r="AO37" s="43"/>
      <c r="AP37" s="45" t="s">
        <v>16</v>
      </c>
      <c r="AQ37" s="46" t="s">
        <v>17</v>
      </c>
      <c r="AR37" s="46" t="s">
        <v>6</v>
      </c>
      <c r="AS37" s="46" t="s">
        <v>18</v>
      </c>
      <c r="AT37" s="46" t="s">
        <v>19</v>
      </c>
      <c r="AU37" s="46" t="s">
        <v>22</v>
      </c>
      <c r="AV37" s="47" t="s">
        <v>23</v>
      </c>
      <c r="AW37" s="3"/>
      <c r="AX37" s="3"/>
    </row>
    <row r="38" spans="1:50" ht="18.75" customHeight="1">
      <c r="A38" s="3">
        <f t="shared" si="8"/>
        <v>0</v>
      </c>
      <c r="B38" s="23" t="s">
        <v>21</v>
      </c>
      <c r="C38" s="24" t="e">
        <f t="shared" ca="1" si="15"/>
        <v>#NAME?</v>
      </c>
      <c r="D38" s="25"/>
      <c r="E38" s="26"/>
      <c r="F38" s="27"/>
      <c r="G38" s="28"/>
      <c r="H38" s="34"/>
      <c r="I38" s="2"/>
      <c r="J38" s="2"/>
      <c r="K38" s="29">
        <f t="shared" si="9"/>
        <v>0</v>
      </c>
      <c r="L38" s="29">
        <f t="shared" si="10"/>
        <v>0</v>
      </c>
      <c r="M38" s="29">
        <f t="shared" si="11"/>
        <v>0</v>
      </c>
      <c r="N38" s="30">
        <f t="shared" si="12"/>
        <v>5</v>
      </c>
      <c r="O38" s="31">
        <f t="shared" si="16"/>
        <v>30</v>
      </c>
      <c r="P38" s="82">
        <f t="shared" si="14"/>
        <v>24</v>
      </c>
      <c r="Q38" s="51" t="e">
        <f ca="1">Q39-1</f>
        <v>#NAME?</v>
      </c>
      <c r="R38" s="52" t="e">
        <f ca="1">R39-7</f>
        <v>#NAME?</v>
      </c>
      <c r="S38" s="53" t="e">
        <f t="shared" ref="S38:X38" ca="1" si="45">R38+1</f>
        <v>#NAME?</v>
      </c>
      <c r="T38" s="53" t="e">
        <f t="shared" ca="1" si="45"/>
        <v>#NAME?</v>
      </c>
      <c r="U38" s="53" t="e">
        <f t="shared" ca="1" si="45"/>
        <v>#NAME?</v>
      </c>
      <c r="V38" s="53" t="e">
        <f t="shared" ca="1" si="45"/>
        <v>#NAME?</v>
      </c>
      <c r="W38" s="88" t="e">
        <f t="shared" ca="1" si="45"/>
        <v>#NAME?</v>
      </c>
      <c r="X38" s="89" t="e">
        <f t="shared" ca="1" si="45"/>
        <v>#NAME?</v>
      </c>
      <c r="Y38" s="51" t="e">
        <f ca="1">Y39-1</f>
        <v>#NAME?</v>
      </c>
      <c r="Z38" s="52" t="e">
        <f ca="1">Z39-7</f>
        <v>#NAME?</v>
      </c>
      <c r="AA38" s="53" t="e">
        <f t="shared" ref="AA38:AF38" ca="1" si="46">Z38+1</f>
        <v>#NAME?</v>
      </c>
      <c r="AB38" s="53" t="e">
        <f t="shared" ca="1" si="46"/>
        <v>#NAME?</v>
      </c>
      <c r="AC38" s="53" t="e">
        <f t="shared" ca="1" si="46"/>
        <v>#NAME?</v>
      </c>
      <c r="AD38" s="53" t="e">
        <f t="shared" ca="1" si="46"/>
        <v>#NAME?</v>
      </c>
      <c r="AE38" s="54" t="e">
        <f t="shared" ca="1" si="46"/>
        <v>#NAME?</v>
      </c>
      <c r="AF38" s="55" t="e">
        <f t="shared" ca="1" si="46"/>
        <v>#NAME?</v>
      </c>
      <c r="AG38" s="51" t="e">
        <f ca="1">AG39-1</f>
        <v>#NAME?</v>
      </c>
      <c r="AH38" s="52" t="e">
        <f ca="1">AH39-7</f>
        <v>#NAME?</v>
      </c>
      <c r="AI38" s="53" t="e">
        <f t="shared" ref="AI38:AN38" ca="1" si="47">AH38+1</f>
        <v>#NAME?</v>
      </c>
      <c r="AJ38" s="53" t="e">
        <f t="shared" ca="1" si="47"/>
        <v>#NAME?</v>
      </c>
      <c r="AK38" s="53" t="e">
        <f t="shared" ca="1" si="47"/>
        <v>#NAME?</v>
      </c>
      <c r="AL38" s="53" t="e">
        <f t="shared" ca="1" si="47"/>
        <v>#NAME?</v>
      </c>
      <c r="AM38" s="56" t="e">
        <f t="shared" ca="1" si="47"/>
        <v>#NAME?</v>
      </c>
      <c r="AN38" s="57" t="e">
        <f t="shared" ca="1" si="47"/>
        <v>#NAME?</v>
      </c>
      <c r="AO38" s="51" t="e">
        <f ca="1">AO39-1</f>
        <v>#NAME?</v>
      </c>
      <c r="AP38" s="52" t="e">
        <f ca="1">AP39-7</f>
        <v>#NAME?</v>
      </c>
      <c r="AQ38" s="53" t="e">
        <f t="shared" ref="AQ38:AV38" ca="1" si="48">AP38+1</f>
        <v>#NAME?</v>
      </c>
      <c r="AR38" s="53" t="e">
        <f t="shared" ca="1" si="48"/>
        <v>#NAME?</v>
      </c>
      <c r="AS38" s="53" t="e">
        <f t="shared" ca="1" si="48"/>
        <v>#NAME?</v>
      </c>
      <c r="AT38" s="53" t="e">
        <f t="shared" ca="1" si="48"/>
        <v>#NAME?</v>
      </c>
      <c r="AU38" s="58" t="e">
        <f t="shared" ca="1" si="48"/>
        <v>#NAME?</v>
      </c>
      <c r="AV38" s="59" t="e">
        <f t="shared" ca="1" si="48"/>
        <v>#NAME?</v>
      </c>
      <c r="AW38" s="3"/>
      <c r="AX38" s="3"/>
    </row>
    <row r="39" spans="1:50" ht="18.75" customHeight="1">
      <c r="A39" s="3">
        <f t="shared" si="8"/>
        <v>0</v>
      </c>
      <c r="B39" s="23" t="s">
        <v>21</v>
      </c>
      <c r="C39" s="24" t="e">
        <f t="shared" ca="1" si="15"/>
        <v>#NAME?</v>
      </c>
      <c r="D39" s="25"/>
      <c r="E39" s="32"/>
      <c r="F39" s="33"/>
      <c r="G39" s="28"/>
      <c r="H39" s="34"/>
      <c r="I39" s="2"/>
      <c r="J39" s="2"/>
      <c r="K39" s="29">
        <f t="shared" si="9"/>
        <v>0</v>
      </c>
      <c r="L39" s="29">
        <f t="shared" si="10"/>
        <v>0</v>
      </c>
      <c r="M39" s="29">
        <f t="shared" si="11"/>
        <v>0</v>
      </c>
      <c r="N39" s="30">
        <f t="shared" si="12"/>
        <v>5</v>
      </c>
      <c r="O39" s="31">
        <f t="shared" si="16"/>
        <v>30</v>
      </c>
      <c r="P39" s="82">
        <f t="shared" si="14"/>
        <v>24</v>
      </c>
      <c r="Q39" s="51" t="e">
        <f ca="1">WEEKNUM(DATE(YEAR(A1),MONTH(A1)+4,1+1*7)-WEEKDAY(DATE(YEAR(A1),MONTH(A1)+4,8-2)))</f>
        <v>#NAME?</v>
      </c>
      <c r="R39" s="62" t="e">
        <f ca="1">DATE(YEAR(A1),MONTH(A1)+4,1+1*7)-WEEKDAY(DATE(YEAR(A1),MONTH(A1)+4,8-2))</f>
        <v>#NAME?</v>
      </c>
      <c r="S39" s="63" t="e">
        <f t="shared" ref="S39:X39" ca="1" si="49">S38+7</f>
        <v>#NAME?</v>
      </c>
      <c r="T39" s="63" t="e">
        <f t="shared" ca="1" si="49"/>
        <v>#NAME?</v>
      </c>
      <c r="U39" s="63" t="e">
        <f t="shared" ca="1" si="49"/>
        <v>#NAME?</v>
      </c>
      <c r="V39" s="63" t="e">
        <f t="shared" ca="1" si="49"/>
        <v>#NAME?</v>
      </c>
      <c r="W39" s="90" t="e">
        <f t="shared" ca="1" si="49"/>
        <v>#NAME?</v>
      </c>
      <c r="X39" s="91" t="e">
        <f t="shared" ca="1" si="49"/>
        <v>#NAME?</v>
      </c>
      <c r="Y39" s="51" t="e">
        <f ca="1">WEEKNUM(DATE(YEAR(A1),MONTH(A1)+5,1+1*7)-WEEKDAY(DATE(YEAR(A1),MONTH(A1)+5,8-2)))</f>
        <v>#NAME?</v>
      </c>
      <c r="Z39" s="62" t="e">
        <f ca="1">DATE(YEAR(A1),MONTH(A1)+5,1+1*7)-WEEKDAY(DATE(YEAR(A1),MONTH(A1)+5,8-2))</f>
        <v>#NAME?</v>
      </c>
      <c r="AA39" s="63" t="e">
        <f t="shared" ref="AA39:AF39" ca="1" si="50">AA38+7</f>
        <v>#NAME?</v>
      </c>
      <c r="AB39" s="63" t="e">
        <f t="shared" ca="1" si="50"/>
        <v>#NAME?</v>
      </c>
      <c r="AC39" s="63" t="e">
        <f t="shared" ca="1" si="50"/>
        <v>#NAME?</v>
      </c>
      <c r="AD39" s="63" t="e">
        <f t="shared" ca="1" si="50"/>
        <v>#NAME?</v>
      </c>
      <c r="AE39" s="64" t="e">
        <f t="shared" ca="1" si="50"/>
        <v>#NAME?</v>
      </c>
      <c r="AF39" s="65" t="e">
        <f t="shared" ca="1" si="50"/>
        <v>#NAME?</v>
      </c>
      <c r="AG39" s="51" t="e">
        <f ca="1">WEEKNUM(DATE(YEAR(A1),MONTH(A1)+6,1+1*7)-WEEKDAY(DATE(YEAR(A1),MONTH(A1)+6,8-2)))</f>
        <v>#NAME?</v>
      </c>
      <c r="AH39" s="62" t="e">
        <f ca="1">DATE(YEAR(A1),MONTH(A1)+6,1+1*7)-WEEKDAY(DATE(YEAR(A1),MONTH(A1)+6,8-2))</f>
        <v>#NAME?</v>
      </c>
      <c r="AI39" s="63" t="e">
        <f t="shared" ref="AI39:AN39" ca="1" si="51">AI38+7</f>
        <v>#NAME?</v>
      </c>
      <c r="AJ39" s="63" t="e">
        <f t="shared" ca="1" si="51"/>
        <v>#NAME?</v>
      </c>
      <c r="AK39" s="63" t="e">
        <f t="shared" ca="1" si="51"/>
        <v>#NAME?</v>
      </c>
      <c r="AL39" s="63" t="e">
        <f t="shared" ca="1" si="51"/>
        <v>#NAME?</v>
      </c>
      <c r="AM39" s="66" t="e">
        <f t="shared" ca="1" si="51"/>
        <v>#NAME?</v>
      </c>
      <c r="AN39" s="67" t="e">
        <f t="shared" ca="1" si="51"/>
        <v>#NAME?</v>
      </c>
      <c r="AO39" s="51" t="e">
        <f ca="1">WEEKNUM(DATE(YEAR(A1),MONTH(A1)+7,1+1*7)-WEEKDAY(DATE(YEAR(A1),MONTH(A1)+7,8-2)))</f>
        <v>#NAME?</v>
      </c>
      <c r="AP39" s="62" t="e">
        <f ca="1">DATE(YEAR(A1),MONTH(A1)+7,1+1*7)-WEEKDAY(DATE(YEAR(A1),MONTH(A1)+7,8-2))</f>
        <v>#NAME?</v>
      </c>
      <c r="AQ39" s="63" t="e">
        <f t="shared" ref="AQ39:AV39" ca="1" si="52">AQ38+7</f>
        <v>#NAME?</v>
      </c>
      <c r="AR39" s="63" t="e">
        <f t="shared" ca="1" si="52"/>
        <v>#NAME?</v>
      </c>
      <c r="AS39" s="63" t="e">
        <f t="shared" ca="1" si="52"/>
        <v>#NAME?</v>
      </c>
      <c r="AT39" s="63" t="e">
        <f t="shared" ca="1" si="52"/>
        <v>#NAME?</v>
      </c>
      <c r="AU39" s="68" t="e">
        <f t="shared" ca="1" si="52"/>
        <v>#NAME?</v>
      </c>
      <c r="AV39" s="69" t="e">
        <f t="shared" ca="1" si="52"/>
        <v>#NAME?</v>
      </c>
      <c r="AW39" s="3"/>
      <c r="AX39" s="3"/>
    </row>
    <row r="40" spans="1:50" ht="18.75" customHeight="1">
      <c r="A40" s="3">
        <f t="shared" si="8"/>
        <v>0</v>
      </c>
      <c r="B40" s="23" t="s">
        <v>21</v>
      </c>
      <c r="C40" s="24" t="e">
        <f t="shared" ca="1" si="15"/>
        <v>#NAME?</v>
      </c>
      <c r="D40" s="25"/>
      <c r="E40" s="32"/>
      <c r="F40" s="33"/>
      <c r="G40" s="28"/>
      <c r="H40" s="34"/>
      <c r="I40" s="2"/>
      <c r="J40" s="2"/>
      <c r="K40" s="29">
        <f t="shared" si="9"/>
        <v>0</v>
      </c>
      <c r="L40" s="29">
        <f t="shared" si="10"/>
        <v>0</v>
      </c>
      <c r="M40" s="29">
        <f t="shared" si="11"/>
        <v>0</v>
      </c>
      <c r="N40" s="30">
        <f t="shared" si="12"/>
        <v>5</v>
      </c>
      <c r="O40" s="31">
        <f t="shared" si="16"/>
        <v>30</v>
      </c>
      <c r="P40" s="82">
        <f t="shared" si="14"/>
        <v>24</v>
      </c>
      <c r="Q40" s="51" t="e">
        <f t="shared" ref="Q40:Q42" ca="1" si="53">Q39+1</f>
        <v>#NAME?</v>
      </c>
      <c r="R40" s="62" t="e">
        <f t="shared" ref="R40:X40" ca="1" si="54">R39+7</f>
        <v>#NAME?</v>
      </c>
      <c r="S40" s="63" t="e">
        <f t="shared" ca="1" si="54"/>
        <v>#NAME?</v>
      </c>
      <c r="T40" s="63" t="e">
        <f t="shared" ca="1" si="54"/>
        <v>#NAME?</v>
      </c>
      <c r="U40" s="63" t="e">
        <f t="shared" ca="1" si="54"/>
        <v>#NAME?</v>
      </c>
      <c r="V40" s="63" t="e">
        <f t="shared" ca="1" si="54"/>
        <v>#NAME?</v>
      </c>
      <c r="W40" s="90" t="e">
        <f t="shared" ca="1" si="54"/>
        <v>#NAME?</v>
      </c>
      <c r="X40" s="91" t="e">
        <f t="shared" ca="1" si="54"/>
        <v>#NAME?</v>
      </c>
      <c r="Y40" s="51" t="e">
        <f t="shared" ref="Y40:Y42" ca="1" si="55">Y39+1</f>
        <v>#NAME?</v>
      </c>
      <c r="Z40" s="62" t="e">
        <f t="shared" ref="Z40:AF40" ca="1" si="56">Z39+7</f>
        <v>#NAME?</v>
      </c>
      <c r="AA40" s="63" t="e">
        <f t="shared" ca="1" si="56"/>
        <v>#NAME?</v>
      </c>
      <c r="AB40" s="63" t="e">
        <f t="shared" ca="1" si="56"/>
        <v>#NAME?</v>
      </c>
      <c r="AC40" s="63" t="e">
        <f t="shared" ca="1" si="56"/>
        <v>#NAME?</v>
      </c>
      <c r="AD40" s="63" t="e">
        <f t="shared" ca="1" si="56"/>
        <v>#NAME?</v>
      </c>
      <c r="AE40" s="64" t="e">
        <f t="shared" ca="1" si="56"/>
        <v>#NAME?</v>
      </c>
      <c r="AF40" s="65" t="e">
        <f t="shared" ca="1" si="56"/>
        <v>#NAME?</v>
      </c>
      <c r="AG40" s="51" t="e">
        <f t="shared" ref="AG40:AG42" ca="1" si="57">AG39+1</f>
        <v>#NAME?</v>
      </c>
      <c r="AH40" s="62" t="e">
        <f t="shared" ref="AH40:AN40" ca="1" si="58">AH39+7</f>
        <v>#NAME?</v>
      </c>
      <c r="AI40" s="63" t="e">
        <f t="shared" ca="1" si="58"/>
        <v>#NAME?</v>
      </c>
      <c r="AJ40" s="63" t="e">
        <f t="shared" ca="1" si="58"/>
        <v>#NAME?</v>
      </c>
      <c r="AK40" s="63" t="e">
        <f t="shared" ca="1" si="58"/>
        <v>#NAME?</v>
      </c>
      <c r="AL40" s="63" t="e">
        <f t="shared" ca="1" si="58"/>
        <v>#NAME?</v>
      </c>
      <c r="AM40" s="66" t="e">
        <f t="shared" ca="1" si="58"/>
        <v>#NAME?</v>
      </c>
      <c r="AN40" s="67" t="e">
        <f t="shared" ca="1" si="58"/>
        <v>#NAME?</v>
      </c>
      <c r="AO40" s="51" t="e">
        <f t="shared" ref="AO40:AO42" ca="1" si="59">AO39+1</f>
        <v>#NAME?</v>
      </c>
      <c r="AP40" s="62" t="e">
        <f t="shared" ref="AP40:AV40" ca="1" si="60">AP39+7</f>
        <v>#NAME?</v>
      </c>
      <c r="AQ40" s="63" t="e">
        <f t="shared" ca="1" si="60"/>
        <v>#NAME?</v>
      </c>
      <c r="AR40" s="63" t="e">
        <f t="shared" ca="1" si="60"/>
        <v>#NAME?</v>
      </c>
      <c r="AS40" s="63" t="e">
        <f t="shared" ca="1" si="60"/>
        <v>#NAME?</v>
      </c>
      <c r="AT40" s="63" t="e">
        <f t="shared" ca="1" si="60"/>
        <v>#NAME?</v>
      </c>
      <c r="AU40" s="68" t="e">
        <f t="shared" ca="1" si="60"/>
        <v>#NAME?</v>
      </c>
      <c r="AV40" s="69" t="e">
        <f t="shared" ca="1" si="60"/>
        <v>#NAME?</v>
      </c>
      <c r="AW40" s="3"/>
      <c r="AX40" s="3"/>
    </row>
    <row r="41" spans="1:50" ht="18.75" customHeight="1">
      <c r="A41" s="3">
        <f t="shared" si="8"/>
        <v>0</v>
      </c>
      <c r="B41" s="23" t="s">
        <v>21</v>
      </c>
      <c r="C41" s="24" t="e">
        <f t="shared" ca="1" si="15"/>
        <v>#NAME?</v>
      </c>
      <c r="D41" s="25"/>
      <c r="E41" s="32"/>
      <c r="F41" s="33"/>
      <c r="G41" s="28"/>
      <c r="H41" s="34"/>
      <c r="I41" s="2"/>
      <c r="J41" s="2"/>
      <c r="K41" s="29">
        <f t="shared" si="9"/>
        <v>0</v>
      </c>
      <c r="L41" s="29">
        <f t="shared" si="10"/>
        <v>0</v>
      </c>
      <c r="M41" s="29">
        <f t="shared" si="11"/>
        <v>0</v>
      </c>
      <c r="N41" s="30">
        <f t="shared" si="12"/>
        <v>5</v>
      </c>
      <c r="O41" s="31">
        <f t="shared" si="16"/>
        <v>30</v>
      </c>
      <c r="P41" s="82">
        <f t="shared" si="14"/>
        <v>24</v>
      </c>
      <c r="Q41" s="51" t="e">
        <f t="shared" ca="1" si="53"/>
        <v>#NAME?</v>
      </c>
      <c r="R41" s="62" t="e">
        <f t="shared" ref="R41:X41" ca="1" si="61">R40+7</f>
        <v>#NAME?</v>
      </c>
      <c r="S41" s="63" t="e">
        <f t="shared" ca="1" si="61"/>
        <v>#NAME?</v>
      </c>
      <c r="T41" s="63" t="e">
        <f t="shared" ca="1" si="61"/>
        <v>#NAME?</v>
      </c>
      <c r="U41" s="63" t="e">
        <f t="shared" ca="1" si="61"/>
        <v>#NAME?</v>
      </c>
      <c r="V41" s="63" t="e">
        <f t="shared" ca="1" si="61"/>
        <v>#NAME?</v>
      </c>
      <c r="W41" s="90" t="e">
        <f t="shared" ca="1" si="61"/>
        <v>#NAME?</v>
      </c>
      <c r="X41" s="91" t="e">
        <f t="shared" ca="1" si="61"/>
        <v>#NAME?</v>
      </c>
      <c r="Y41" s="51" t="e">
        <f t="shared" ca="1" si="55"/>
        <v>#NAME?</v>
      </c>
      <c r="Z41" s="62" t="e">
        <f t="shared" ref="Z41:AF41" ca="1" si="62">Z40+7</f>
        <v>#NAME?</v>
      </c>
      <c r="AA41" s="63" t="e">
        <f t="shared" ca="1" si="62"/>
        <v>#NAME?</v>
      </c>
      <c r="AB41" s="63" t="e">
        <f t="shared" ca="1" si="62"/>
        <v>#NAME?</v>
      </c>
      <c r="AC41" s="63" t="e">
        <f t="shared" ca="1" si="62"/>
        <v>#NAME?</v>
      </c>
      <c r="AD41" s="63" t="e">
        <f t="shared" ca="1" si="62"/>
        <v>#NAME?</v>
      </c>
      <c r="AE41" s="64" t="e">
        <f t="shared" ca="1" si="62"/>
        <v>#NAME?</v>
      </c>
      <c r="AF41" s="65" t="e">
        <f t="shared" ca="1" si="62"/>
        <v>#NAME?</v>
      </c>
      <c r="AG41" s="51" t="e">
        <f t="shared" ca="1" si="57"/>
        <v>#NAME?</v>
      </c>
      <c r="AH41" s="62" t="e">
        <f t="shared" ref="AH41:AN41" ca="1" si="63">AH40+7</f>
        <v>#NAME?</v>
      </c>
      <c r="AI41" s="63" t="e">
        <f t="shared" ca="1" si="63"/>
        <v>#NAME?</v>
      </c>
      <c r="AJ41" s="63" t="e">
        <f t="shared" ca="1" si="63"/>
        <v>#NAME?</v>
      </c>
      <c r="AK41" s="63" t="e">
        <f t="shared" ca="1" si="63"/>
        <v>#NAME?</v>
      </c>
      <c r="AL41" s="63" t="e">
        <f t="shared" ca="1" si="63"/>
        <v>#NAME?</v>
      </c>
      <c r="AM41" s="66" t="e">
        <f t="shared" ca="1" si="63"/>
        <v>#NAME?</v>
      </c>
      <c r="AN41" s="67" t="e">
        <f t="shared" ca="1" si="63"/>
        <v>#NAME?</v>
      </c>
      <c r="AO41" s="51" t="e">
        <f t="shared" ca="1" si="59"/>
        <v>#NAME?</v>
      </c>
      <c r="AP41" s="62" t="e">
        <f t="shared" ref="AP41:AV41" ca="1" si="64">AP40+7</f>
        <v>#NAME?</v>
      </c>
      <c r="AQ41" s="63" t="e">
        <f t="shared" ca="1" si="64"/>
        <v>#NAME?</v>
      </c>
      <c r="AR41" s="63" t="e">
        <f t="shared" ca="1" si="64"/>
        <v>#NAME?</v>
      </c>
      <c r="AS41" s="63" t="e">
        <f t="shared" ca="1" si="64"/>
        <v>#NAME?</v>
      </c>
      <c r="AT41" s="63" t="e">
        <f t="shared" ca="1" si="64"/>
        <v>#NAME?</v>
      </c>
      <c r="AU41" s="68" t="e">
        <f t="shared" ca="1" si="64"/>
        <v>#NAME?</v>
      </c>
      <c r="AV41" s="69" t="e">
        <f t="shared" ca="1" si="64"/>
        <v>#NAME?</v>
      </c>
      <c r="AW41" s="3"/>
      <c r="AX41" s="3"/>
    </row>
    <row r="42" spans="1:50" ht="18.75" customHeight="1">
      <c r="A42" s="3">
        <f t="shared" si="8"/>
        <v>0</v>
      </c>
      <c r="B42" s="38" t="s">
        <v>21</v>
      </c>
      <c r="C42" s="39" t="e">
        <f t="shared" ca="1" si="15"/>
        <v>#NAME?</v>
      </c>
      <c r="D42" s="25"/>
      <c r="E42" s="32"/>
      <c r="F42" s="33"/>
      <c r="G42" s="28"/>
      <c r="H42" s="34"/>
      <c r="I42" s="2"/>
      <c r="J42" s="2"/>
      <c r="K42" s="29">
        <f t="shared" si="9"/>
        <v>0</v>
      </c>
      <c r="L42" s="29">
        <f t="shared" si="10"/>
        <v>0</v>
      </c>
      <c r="M42" s="29">
        <f t="shared" si="11"/>
        <v>0</v>
      </c>
      <c r="N42" s="30">
        <f t="shared" si="12"/>
        <v>5</v>
      </c>
      <c r="O42" s="31">
        <f t="shared" si="16"/>
        <v>30</v>
      </c>
      <c r="P42" s="82">
        <f t="shared" si="14"/>
        <v>24</v>
      </c>
      <c r="Q42" s="51" t="e">
        <f t="shared" ca="1" si="53"/>
        <v>#NAME?</v>
      </c>
      <c r="R42" s="62" t="e">
        <f t="shared" ref="R42:X42" ca="1" si="65">R41+7</f>
        <v>#NAME?</v>
      </c>
      <c r="S42" s="63" t="e">
        <f t="shared" ca="1" si="65"/>
        <v>#NAME?</v>
      </c>
      <c r="T42" s="63" t="e">
        <f t="shared" ca="1" si="65"/>
        <v>#NAME?</v>
      </c>
      <c r="U42" s="63" t="e">
        <f t="shared" ca="1" si="65"/>
        <v>#NAME?</v>
      </c>
      <c r="V42" s="63" t="e">
        <f t="shared" ca="1" si="65"/>
        <v>#NAME?</v>
      </c>
      <c r="W42" s="90" t="e">
        <f t="shared" ca="1" si="65"/>
        <v>#NAME?</v>
      </c>
      <c r="X42" s="91" t="e">
        <f t="shared" ca="1" si="65"/>
        <v>#NAME?</v>
      </c>
      <c r="Y42" s="51" t="e">
        <f t="shared" ca="1" si="55"/>
        <v>#NAME?</v>
      </c>
      <c r="Z42" s="62" t="e">
        <f t="shared" ref="Z42:AF42" ca="1" si="66">Z41+7</f>
        <v>#NAME?</v>
      </c>
      <c r="AA42" s="63" t="e">
        <f t="shared" ca="1" si="66"/>
        <v>#NAME?</v>
      </c>
      <c r="AB42" s="63" t="e">
        <f t="shared" ca="1" si="66"/>
        <v>#NAME?</v>
      </c>
      <c r="AC42" s="63" t="e">
        <f t="shared" ca="1" si="66"/>
        <v>#NAME?</v>
      </c>
      <c r="AD42" s="63" t="e">
        <f t="shared" ca="1" si="66"/>
        <v>#NAME?</v>
      </c>
      <c r="AE42" s="64" t="e">
        <f t="shared" ca="1" si="66"/>
        <v>#NAME?</v>
      </c>
      <c r="AF42" s="65" t="e">
        <f t="shared" ca="1" si="66"/>
        <v>#NAME?</v>
      </c>
      <c r="AG42" s="51" t="e">
        <f t="shared" ca="1" si="57"/>
        <v>#NAME?</v>
      </c>
      <c r="AH42" s="62" t="e">
        <f t="shared" ref="AH42:AN42" ca="1" si="67">AH41+7</f>
        <v>#NAME?</v>
      </c>
      <c r="AI42" s="63" t="e">
        <f t="shared" ca="1" si="67"/>
        <v>#NAME?</v>
      </c>
      <c r="AJ42" s="63" t="e">
        <f t="shared" ca="1" si="67"/>
        <v>#NAME?</v>
      </c>
      <c r="AK42" s="63" t="e">
        <f t="shared" ca="1" si="67"/>
        <v>#NAME?</v>
      </c>
      <c r="AL42" s="63" t="e">
        <f t="shared" ca="1" si="67"/>
        <v>#NAME?</v>
      </c>
      <c r="AM42" s="66" t="e">
        <f t="shared" ca="1" si="67"/>
        <v>#NAME?</v>
      </c>
      <c r="AN42" s="67" t="e">
        <f t="shared" ca="1" si="67"/>
        <v>#NAME?</v>
      </c>
      <c r="AO42" s="51" t="e">
        <f t="shared" ca="1" si="59"/>
        <v>#NAME?</v>
      </c>
      <c r="AP42" s="62" t="e">
        <f t="shared" ref="AP42:AV42" ca="1" si="68">AP41+7</f>
        <v>#NAME?</v>
      </c>
      <c r="AQ42" s="63" t="e">
        <f t="shared" ca="1" si="68"/>
        <v>#NAME?</v>
      </c>
      <c r="AR42" s="63" t="e">
        <f t="shared" ca="1" si="68"/>
        <v>#NAME?</v>
      </c>
      <c r="AS42" s="63" t="e">
        <f t="shared" ca="1" si="68"/>
        <v>#NAME?</v>
      </c>
      <c r="AT42" s="63" t="e">
        <f t="shared" ca="1" si="68"/>
        <v>#NAME?</v>
      </c>
      <c r="AU42" s="68" t="e">
        <f t="shared" ca="1" si="68"/>
        <v>#NAME?</v>
      </c>
      <c r="AV42" s="69" t="e">
        <f t="shared" ca="1" si="68"/>
        <v>#NAME?</v>
      </c>
      <c r="AW42" s="3"/>
      <c r="AX42" s="3"/>
    </row>
    <row r="43" spans="1:50" ht="18.75" customHeight="1">
      <c r="A43" s="3">
        <f t="shared" si="8"/>
        <v>0</v>
      </c>
      <c r="B43" s="23" t="s">
        <v>21</v>
      </c>
      <c r="C43" s="24" t="e">
        <f t="shared" ca="1" si="15"/>
        <v>#NAME?</v>
      </c>
      <c r="D43" s="25"/>
      <c r="E43" s="32"/>
      <c r="F43" s="33"/>
      <c r="G43" s="28"/>
      <c r="H43" s="34"/>
      <c r="I43" s="2"/>
      <c r="J43" s="2"/>
      <c r="K43" s="29">
        <f t="shared" si="9"/>
        <v>0</v>
      </c>
      <c r="L43" s="29">
        <f t="shared" si="10"/>
        <v>0</v>
      </c>
      <c r="M43" s="29">
        <f t="shared" si="11"/>
        <v>0</v>
      </c>
      <c r="N43" s="30">
        <f t="shared" si="12"/>
        <v>5</v>
      </c>
      <c r="O43" s="31">
        <f t="shared" si="16"/>
        <v>30</v>
      </c>
      <c r="P43" s="82">
        <f t="shared" si="14"/>
        <v>24</v>
      </c>
      <c r="Q43" s="51" t="e">
        <f ca="1">IF(Q42=52,1,Q42+1)</f>
        <v>#NAME?</v>
      </c>
      <c r="R43" s="72" t="e">
        <f t="shared" ref="R43:X43" ca="1" si="69">R42+7</f>
        <v>#NAME?</v>
      </c>
      <c r="S43" s="73" t="e">
        <f t="shared" ca="1" si="69"/>
        <v>#NAME?</v>
      </c>
      <c r="T43" s="73" t="e">
        <f t="shared" ca="1" si="69"/>
        <v>#NAME?</v>
      </c>
      <c r="U43" s="73" t="e">
        <f t="shared" ca="1" si="69"/>
        <v>#NAME?</v>
      </c>
      <c r="V43" s="73" t="e">
        <f t="shared" ca="1" si="69"/>
        <v>#NAME?</v>
      </c>
      <c r="W43" s="92" t="e">
        <f t="shared" ca="1" si="69"/>
        <v>#NAME?</v>
      </c>
      <c r="X43" s="93" t="e">
        <f t="shared" ca="1" si="69"/>
        <v>#NAME?</v>
      </c>
      <c r="Y43" s="51" t="e">
        <f ca="1">IF(Y42=52,1,Y42+1)</f>
        <v>#NAME?</v>
      </c>
      <c r="Z43" s="72" t="e">
        <f t="shared" ref="Z43:AF43" ca="1" si="70">Z42+7</f>
        <v>#NAME?</v>
      </c>
      <c r="AA43" s="73" t="e">
        <f t="shared" ca="1" si="70"/>
        <v>#NAME?</v>
      </c>
      <c r="AB43" s="73" t="e">
        <f t="shared" ca="1" si="70"/>
        <v>#NAME?</v>
      </c>
      <c r="AC43" s="73" t="e">
        <f t="shared" ca="1" si="70"/>
        <v>#NAME?</v>
      </c>
      <c r="AD43" s="73" t="e">
        <f t="shared" ca="1" si="70"/>
        <v>#NAME?</v>
      </c>
      <c r="AE43" s="74" t="e">
        <f t="shared" ca="1" si="70"/>
        <v>#NAME?</v>
      </c>
      <c r="AF43" s="75" t="e">
        <f t="shared" ca="1" si="70"/>
        <v>#NAME?</v>
      </c>
      <c r="AG43" s="51" t="e">
        <f ca="1">IF(AG42=52,1,AG42+1)</f>
        <v>#NAME?</v>
      </c>
      <c r="AH43" s="72" t="e">
        <f t="shared" ref="AH43:AN43" ca="1" si="71">AH42+7</f>
        <v>#NAME?</v>
      </c>
      <c r="AI43" s="73" t="e">
        <f t="shared" ca="1" si="71"/>
        <v>#NAME?</v>
      </c>
      <c r="AJ43" s="73" t="e">
        <f t="shared" ca="1" si="71"/>
        <v>#NAME?</v>
      </c>
      <c r="AK43" s="73" t="e">
        <f t="shared" ca="1" si="71"/>
        <v>#NAME?</v>
      </c>
      <c r="AL43" s="73" t="e">
        <f t="shared" ca="1" si="71"/>
        <v>#NAME?</v>
      </c>
      <c r="AM43" s="76" t="e">
        <f t="shared" ca="1" si="71"/>
        <v>#NAME?</v>
      </c>
      <c r="AN43" s="77" t="e">
        <f t="shared" ca="1" si="71"/>
        <v>#NAME?</v>
      </c>
      <c r="AO43" s="51" t="e">
        <f ca="1">IF(AO42=52,1,AO42+1)</f>
        <v>#NAME?</v>
      </c>
      <c r="AP43" s="72" t="e">
        <f t="shared" ref="AP43:AV43" ca="1" si="72">AP42+7</f>
        <v>#NAME?</v>
      </c>
      <c r="AQ43" s="73" t="e">
        <f t="shared" ca="1" si="72"/>
        <v>#NAME?</v>
      </c>
      <c r="AR43" s="73" t="e">
        <f t="shared" ca="1" si="72"/>
        <v>#NAME?</v>
      </c>
      <c r="AS43" s="73" t="e">
        <f t="shared" ca="1" si="72"/>
        <v>#NAME?</v>
      </c>
      <c r="AT43" s="73" t="e">
        <f t="shared" ca="1" si="72"/>
        <v>#NAME?</v>
      </c>
      <c r="AU43" s="78" t="e">
        <f t="shared" ca="1" si="72"/>
        <v>#NAME?</v>
      </c>
      <c r="AV43" s="79" t="e">
        <f t="shared" ca="1" si="72"/>
        <v>#NAME?</v>
      </c>
      <c r="AW43" s="3"/>
      <c r="AX43" s="3"/>
    </row>
    <row r="44" spans="1:50" ht="18.75" customHeight="1">
      <c r="A44" s="3">
        <f t="shared" si="8"/>
        <v>0</v>
      </c>
      <c r="B44" s="23" t="s">
        <v>21</v>
      </c>
      <c r="C44" s="24" t="e">
        <f t="shared" ca="1" si="15"/>
        <v>#NAME?</v>
      </c>
      <c r="D44" s="25"/>
      <c r="E44" s="32"/>
      <c r="F44" s="33"/>
      <c r="G44" s="28"/>
      <c r="H44" s="34"/>
      <c r="I44" s="2"/>
      <c r="J44" s="2"/>
      <c r="K44" s="29">
        <f t="shared" si="9"/>
        <v>0</v>
      </c>
      <c r="L44" s="29">
        <f t="shared" si="10"/>
        <v>0</v>
      </c>
      <c r="M44" s="29">
        <f t="shared" si="11"/>
        <v>0</v>
      </c>
      <c r="N44" s="30">
        <f t="shared" si="12"/>
        <v>5</v>
      </c>
      <c r="O44" s="31">
        <f t="shared" si="16"/>
        <v>30</v>
      </c>
      <c r="P44" s="82">
        <f t="shared" si="14"/>
        <v>24</v>
      </c>
      <c r="Q44" s="3"/>
      <c r="R44" s="83" t="e">
        <f ca="1">IF(R33+4&gt;12,R33+4-12,R33+4)</f>
        <v>#NAME?</v>
      </c>
      <c r="S44" s="15"/>
      <c r="T44" s="15"/>
      <c r="U44" s="15"/>
      <c r="V44" s="15"/>
      <c r="W44" s="15"/>
      <c r="X44" s="15"/>
      <c r="Y44" s="13"/>
      <c r="Z44" s="83" t="e">
        <f ca="1">IF(Z33+4&gt;12,Z33+4-12,Z33+4)</f>
        <v>#NAME?</v>
      </c>
      <c r="AA44" s="15"/>
      <c r="AB44" s="15"/>
      <c r="AC44" s="15"/>
      <c r="AD44" s="15"/>
      <c r="AE44" s="15"/>
      <c r="AF44" s="15"/>
      <c r="AG44" s="15"/>
      <c r="AH44" s="83" t="e">
        <f ca="1">IF(AH33+4&gt;12,AH33+4-12,AH33+4)</f>
        <v>#NAME?</v>
      </c>
      <c r="AI44" s="15"/>
      <c r="AJ44" s="15"/>
      <c r="AK44" s="15"/>
      <c r="AL44" s="15"/>
      <c r="AM44" s="15"/>
      <c r="AN44" s="15"/>
      <c r="AO44" s="13"/>
      <c r="AP44" s="83" t="e">
        <f ca="1">IF(AP33+4&gt;12,AP33+4-12,AP33+4)</f>
        <v>#NAME?</v>
      </c>
      <c r="AQ44" s="15"/>
      <c r="AR44" s="15"/>
      <c r="AS44" s="15"/>
      <c r="AT44" s="15"/>
      <c r="AU44" s="15"/>
      <c r="AV44" s="15"/>
      <c r="AW44" s="3"/>
      <c r="AX44" s="3"/>
    </row>
    <row r="45" spans="1:50" ht="18.75" customHeight="1">
      <c r="A45" s="3">
        <f t="shared" si="8"/>
        <v>0</v>
      </c>
      <c r="B45" s="23" t="s">
        <v>21</v>
      </c>
      <c r="C45" s="24" t="e">
        <f t="shared" ca="1" si="15"/>
        <v>#NAME?</v>
      </c>
      <c r="D45" s="25"/>
      <c r="E45" s="32"/>
      <c r="F45" s="33"/>
      <c r="G45" s="28"/>
      <c r="H45" s="34"/>
      <c r="I45" s="2"/>
      <c r="J45" s="2"/>
      <c r="K45" s="29">
        <f t="shared" si="9"/>
        <v>0</v>
      </c>
      <c r="L45" s="29">
        <f t="shared" si="10"/>
        <v>0</v>
      </c>
      <c r="M45" s="29">
        <f t="shared" si="11"/>
        <v>0</v>
      </c>
      <c r="N45" s="30">
        <f t="shared" si="12"/>
        <v>5</v>
      </c>
      <c r="O45" s="31">
        <f t="shared" si="16"/>
        <v>30</v>
      </c>
      <c r="P45" s="82">
        <f t="shared" si="14"/>
        <v>24</v>
      </c>
      <c r="Q45" s="3"/>
      <c r="R45" s="2"/>
      <c r="S45" s="2"/>
      <c r="T45" s="2"/>
      <c r="U45" s="2"/>
      <c r="V45" s="2"/>
      <c r="W45" s="2"/>
      <c r="X45" s="2"/>
      <c r="Y45" s="2"/>
      <c r="Z45" s="116"/>
      <c r="AA45" s="117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3"/>
      <c r="AX45" s="3"/>
    </row>
    <row r="46" spans="1:50" ht="18.75" customHeight="1">
      <c r="A46" s="3">
        <f t="shared" si="8"/>
        <v>0</v>
      </c>
      <c r="B46" s="23" t="s">
        <v>21</v>
      </c>
      <c r="C46" s="24" t="e">
        <f t="shared" ca="1" si="15"/>
        <v>#NAME?</v>
      </c>
      <c r="D46" s="25"/>
      <c r="E46" s="32"/>
      <c r="F46" s="33"/>
      <c r="G46" s="28"/>
      <c r="H46" s="34"/>
      <c r="I46" s="2"/>
      <c r="J46" s="2"/>
      <c r="K46" s="29">
        <f t="shared" si="9"/>
        <v>0</v>
      </c>
      <c r="L46" s="29">
        <f t="shared" si="10"/>
        <v>0</v>
      </c>
      <c r="M46" s="29">
        <f t="shared" si="11"/>
        <v>0</v>
      </c>
      <c r="N46" s="30">
        <f t="shared" si="12"/>
        <v>5</v>
      </c>
      <c r="O46" s="31">
        <f t="shared" si="16"/>
        <v>30</v>
      </c>
      <c r="P46" s="82">
        <f t="shared" si="14"/>
        <v>24</v>
      </c>
      <c r="Q46" s="3"/>
      <c r="R46" s="118" t="e">
        <f ca="1">_xludf.IFS(R44=1,"J A N U A R Y",R44=2,"F E B R U A R Y",R44=3,"M A R C H",R44=4,"A P R I L",R44=5, "M A Y",R44=6, "J U N E",R44=7, "J U L Y",R44=8,"A U G U S T ",R44=9,"S E P T E M B E R ",R44=10,"O C T O B E R",R44=11,"N O V E M B E R",R44=12,"D E C E M B E R")</f>
        <v>#NAME?</v>
      </c>
      <c r="S46" s="108"/>
      <c r="T46" s="108"/>
      <c r="U46" s="108"/>
      <c r="V46" s="108"/>
      <c r="W46" s="108"/>
      <c r="X46" s="109"/>
      <c r="Y46" s="4"/>
      <c r="Z46" s="114" t="e">
        <f ca="1">_xludf.IFS(Z44=1,"J A N U A R Y",Z44=2,"F E B R U A R Y",Z44=3,"M A R C H",Z44=4,"A P R I L",Z44=5, "M A Y",Z44=6, "J U N E",Z44=7, "J U L Y",Z44=8,"A U G U S T ",Z44=9,"S E P T E M B E R ",Z44=10,"O C T O B E R",Z44=11,"N O V E M B E R",Z44=12,"D E C E M B E R")</f>
        <v>#NAME?</v>
      </c>
      <c r="AA46" s="108"/>
      <c r="AB46" s="108"/>
      <c r="AC46" s="108"/>
      <c r="AD46" s="108"/>
      <c r="AE46" s="108"/>
      <c r="AF46" s="109"/>
      <c r="AG46" s="4"/>
      <c r="AH46" s="107" t="e">
        <f ca="1">_xludf.IFS(AH44=1,"J A N U A R Y",AH44=2,"F E B R U A R Y",AH44=3,"M A R C H",AH44=4,"A P R I L",AH44=5, "M A Y",AH44=6, "J U N E",AH44=7, "J U L Y",AH44=8,"A U G U S T ",AH44=9,"S E P T E M B E R ",AH44=10,"O C T O B E R",AH44=11,"N O V E M B E R",AH44=12,"D E C E M B E R")</f>
        <v>#NAME?</v>
      </c>
      <c r="AI46" s="108"/>
      <c r="AJ46" s="108"/>
      <c r="AK46" s="108"/>
      <c r="AL46" s="108"/>
      <c r="AM46" s="108"/>
      <c r="AN46" s="109"/>
      <c r="AO46" s="4"/>
      <c r="AP46" s="113" t="e">
        <f ca="1">_xludf.IFS(AP44=1,"J A N U A R Y",AP44=2,"F E B R U A R Y",AP44=3,"M A R C H",AP44=4,"A P R I L",AP44=5, "M A Y",AP44=6, "J U N E",AP44=7, "J U L Y",AP44=8,"A U G U S T ",AP44=9,"S E P T E M B E R ",AP44=10,"O C T O B E R",AP44=11,"N O V E M B E R",AP44=12,"D E C E M B E R")</f>
        <v>#NAME?</v>
      </c>
      <c r="AQ46" s="108"/>
      <c r="AR46" s="108"/>
      <c r="AS46" s="108"/>
      <c r="AT46" s="108"/>
      <c r="AU46" s="108"/>
      <c r="AV46" s="109"/>
      <c r="AW46" s="5"/>
      <c r="AX46" s="5"/>
    </row>
    <row r="47" spans="1:50" ht="18.75" customHeight="1">
      <c r="A47" s="3">
        <f t="shared" si="8"/>
        <v>0</v>
      </c>
      <c r="B47" s="23" t="s">
        <v>21</v>
      </c>
      <c r="C47" s="24" t="e">
        <f t="shared" ca="1" si="15"/>
        <v>#NAME?</v>
      </c>
      <c r="D47" s="25"/>
      <c r="E47" s="32"/>
      <c r="F47" s="33"/>
      <c r="G47" s="28"/>
      <c r="H47" s="34"/>
      <c r="I47" s="2"/>
      <c r="J47" s="2"/>
      <c r="K47" s="29">
        <f t="shared" si="9"/>
        <v>0</v>
      </c>
      <c r="L47" s="29">
        <f t="shared" si="10"/>
        <v>0</v>
      </c>
      <c r="M47" s="29">
        <f t="shared" si="11"/>
        <v>0</v>
      </c>
      <c r="N47" s="30">
        <f t="shared" si="12"/>
        <v>5</v>
      </c>
      <c r="O47" s="31">
        <f t="shared" si="16"/>
        <v>30</v>
      </c>
      <c r="P47" s="82">
        <f t="shared" si="14"/>
        <v>24</v>
      </c>
      <c r="Q47" s="3"/>
      <c r="R47" s="110"/>
      <c r="S47" s="111"/>
      <c r="T47" s="111"/>
      <c r="U47" s="111"/>
      <c r="V47" s="111"/>
      <c r="W47" s="111"/>
      <c r="X47" s="112"/>
      <c r="Y47" s="4"/>
      <c r="Z47" s="110"/>
      <c r="AA47" s="111"/>
      <c r="AB47" s="111"/>
      <c r="AC47" s="111"/>
      <c r="AD47" s="111"/>
      <c r="AE47" s="111"/>
      <c r="AF47" s="112"/>
      <c r="AG47" s="4"/>
      <c r="AH47" s="110"/>
      <c r="AI47" s="111"/>
      <c r="AJ47" s="111"/>
      <c r="AK47" s="111"/>
      <c r="AL47" s="111"/>
      <c r="AM47" s="111"/>
      <c r="AN47" s="112"/>
      <c r="AO47" s="4"/>
      <c r="AP47" s="110"/>
      <c r="AQ47" s="111"/>
      <c r="AR47" s="111"/>
      <c r="AS47" s="111"/>
      <c r="AT47" s="111"/>
      <c r="AU47" s="111"/>
      <c r="AV47" s="112"/>
      <c r="AW47" s="3"/>
      <c r="AX47" s="3"/>
    </row>
    <row r="48" spans="1:50" ht="18.75" customHeight="1">
      <c r="A48" s="3">
        <f t="shared" si="8"/>
        <v>0</v>
      </c>
      <c r="B48" s="23" t="s">
        <v>21</v>
      </c>
      <c r="C48" s="24" t="e">
        <f t="shared" ca="1" si="15"/>
        <v>#NAME?</v>
      </c>
      <c r="D48" s="25"/>
      <c r="E48" s="32"/>
      <c r="F48" s="33"/>
      <c r="G48" s="28"/>
      <c r="H48" s="34"/>
      <c r="I48" s="2"/>
      <c r="J48" s="2"/>
      <c r="K48" s="29">
        <f t="shared" si="9"/>
        <v>0</v>
      </c>
      <c r="L48" s="29">
        <f t="shared" si="10"/>
        <v>0</v>
      </c>
      <c r="M48" s="29">
        <f t="shared" si="11"/>
        <v>0</v>
      </c>
      <c r="N48" s="30">
        <f t="shared" si="12"/>
        <v>5</v>
      </c>
      <c r="O48" s="31">
        <f t="shared" si="16"/>
        <v>30</v>
      </c>
      <c r="P48" s="82">
        <f t="shared" si="14"/>
        <v>24</v>
      </c>
      <c r="Q48" s="3"/>
      <c r="R48" s="48" t="s">
        <v>16</v>
      </c>
      <c r="S48" s="49" t="s">
        <v>17</v>
      </c>
      <c r="T48" s="49" t="s">
        <v>6</v>
      </c>
      <c r="U48" s="49" t="s">
        <v>18</v>
      </c>
      <c r="V48" s="49" t="s">
        <v>19</v>
      </c>
      <c r="W48" s="49" t="s">
        <v>22</v>
      </c>
      <c r="X48" s="50" t="s">
        <v>23</v>
      </c>
      <c r="Y48" s="87"/>
      <c r="Z48" s="84" t="s">
        <v>16</v>
      </c>
      <c r="AA48" s="85" t="s">
        <v>17</v>
      </c>
      <c r="AB48" s="85" t="s">
        <v>6</v>
      </c>
      <c r="AC48" s="85" t="s">
        <v>18</v>
      </c>
      <c r="AD48" s="85" t="s">
        <v>19</v>
      </c>
      <c r="AE48" s="85" t="s">
        <v>22</v>
      </c>
      <c r="AF48" s="86" t="s">
        <v>23</v>
      </c>
      <c r="AG48" s="87"/>
      <c r="AH48" s="40" t="s">
        <v>16</v>
      </c>
      <c r="AI48" s="41" t="s">
        <v>17</v>
      </c>
      <c r="AJ48" s="41" t="s">
        <v>6</v>
      </c>
      <c r="AK48" s="41" t="s">
        <v>18</v>
      </c>
      <c r="AL48" s="41" t="s">
        <v>19</v>
      </c>
      <c r="AM48" s="41" t="s">
        <v>22</v>
      </c>
      <c r="AN48" s="42" t="s">
        <v>23</v>
      </c>
      <c r="AO48" s="87"/>
      <c r="AP48" s="38" t="s">
        <v>16</v>
      </c>
      <c r="AQ48" s="39" t="s">
        <v>17</v>
      </c>
      <c r="AR48" s="39" t="s">
        <v>6</v>
      </c>
      <c r="AS48" s="39" t="s">
        <v>18</v>
      </c>
      <c r="AT48" s="39" t="s">
        <v>19</v>
      </c>
      <c r="AU48" s="39" t="s">
        <v>22</v>
      </c>
      <c r="AV48" s="44" t="s">
        <v>23</v>
      </c>
      <c r="AW48" s="3"/>
      <c r="AX48" s="3"/>
    </row>
    <row r="49" spans="1:50" ht="18.75" customHeight="1">
      <c r="A49" s="3">
        <f t="shared" si="8"/>
        <v>0</v>
      </c>
      <c r="B49" s="38" t="s">
        <v>21</v>
      </c>
      <c r="C49" s="39" t="e">
        <f t="shared" ca="1" si="15"/>
        <v>#NAME?</v>
      </c>
      <c r="D49" s="25"/>
      <c r="E49" s="32"/>
      <c r="F49" s="33"/>
      <c r="G49" s="28"/>
      <c r="H49" s="34"/>
      <c r="I49" s="2"/>
      <c r="J49" s="2"/>
      <c r="K49" s="29">
        <f t="shared" si="9"/>
        <v>0</v>
      </c>
      <c r="L49" s="29">
        <f t="shared" si="10"/>
        <v>0</v>
      </c>
      <c r="M49" s="29">
        <f t="shared" si="11"/>
        <v>0</v>
      </c>
      <c r="N49" s="30">
        <f t="shared" si="12"/>
        <v>5</v>
      </c>
      <c r="O49" s="31">
        <f t="shared" si="16"/>
        <v>30</v>
      </c>
      <c r="P49" s="82">
        <f t="shared" si="14"/>
        <v>24</v>
      </c>
      <c r="Q49" s="51" t="e">
        <f ca="1">Q50-1</f>
        <v>#NAME?</v>
      </c>
      <c r="R49" s="52" t="e">
        <f ca="1">R50-7</f>
        <v>#NAME?</v>
      </c>
      <c r="S49" s="53" t="e">
        <f t="shared" ref="S49:X49" ca="1" si="73">R49+1</f>
        <v>#NAME?</v>
      </c>
      <c r="T49" s="53" t="e">
        <f t="shared" ca="1" si="73"/>
        <v>#NAME?</v>
      </c>
      <c r="U49" s="53" t="e">
        <f t="shared" ca="1" si="73"/>
        <v>#NAME?</v>
      </c>
      <c r="V49" s="53" t="e">
        <f t="shared" ca="1" si="73"/>
        <v>#NAME?</v>
      </c>
      <c r="W49" s="60" t="e">
        <f t="shared" ca="1" si="73"/>
        <v>#NAME?</v>
      </c>
      <c r="X49" s="61" t="e">
        <f t="shared" ca="1" si="73"/>
        <v>#NAME?</v>
      </c>
      <c r="Y49" s="51" t="e">
        <f ca="1">Y50-1</f>
        <v>#NAME?</v>
      </c>
      <c r="Z49" s="52" t="e">
        <f ca="1">Z50-7</f>
        <v>#NAME?</v>
      </c>
      <c r="AA49" s="53" t="e">
        <f t="shared" ref="AA49:AF49" ca="1" si="74">Z49+1</f>
        <v>#NAME?</v>
      </c>
      <c r="AB49" s="53" t="e">
        <f t="shared" ca="1" si="74"/>
        <v>#NAME?</v>
      </c>
      <c r="AC49" s="53" t="e">
        <f t="shared" ca="1" si="74"/>
        <v>#NAME?</v>
      </c>
      <c r="AD49" s="53" t="e">
        <f t="shared" ca="1" si="74"/>
        <v>#NAME?</v>
      </c>
      <c r="AE49" s="88" t="e">
        <f t="shared" ca="1" si="74"/>
        <v>#NAME?</v>
      </c>
      <c r="AF49" s="89" t="e">
        <f t="shared" ca="1" si="74"/>
        <v>#NAME?</v>
      </c>
      <c r="AG49" s="51" t="e">
        <f ca="1">AG50-1</f>
        <v>#NAME?</v>
      </c>
      <c r="AH49" s="52" t="e">
        <f ca="1">AH50-7</f>
        <v>#NAME?</v>
      </c>
      <c r="AI49" s="53" t="e">
        <f t="shared" ref="AI49:AN49" ca="1" si="75">AH49+1</f>
        <v>#NAME?</v>
      </c>
      <c r="AJ49" s="53" t="e">
        <f t="shared" ca="1" si="75"/>
        <v>#NAME?</v>
      </c>
      <c r="AK49" s="53" t="e">
        <f t="shared" ca="1" si="75"/>
        <v>#NAME?</v>
      </c>
      <c r="AL49" s="53" t="e">
        <f t="shared" ca="1" si="75"/>
        <v>#NAME?</v>
      </c>
      <c r="AM49" s="54" t="e">
        <f t="shared" ca="1" si="75"/>
        <v>#NAME?</v>
      </c>
      <c r="AN49" s="55" t="e">
        <f t="shared" ca="1" si="75"/>
        <v>#NAME?</v>
      </c>
      <c r="AO49" s="51" t="e">
        <f ca="1">AO50-1</f>
        <v>#NAME?</v>
      </c>
      <c r="AP49" s="52" t="e">
        <f ca="1">AP50-7</f>
        <v>#NAME?</v>
      </c>
      <c r="AQ49" s="53" t="e">
        <f t="shared" ref="AQ49:AV49" ca="1" si="76">AP49+1</f>
        <v>#NAME?</v>
      </c>
      <c r="AR49" s="53" t="e">
        <f t="shared" ca="1" si="76"/>
        <v>#NAME?</v>
      </c>
      <c r="AS49" s="53" t="e">
        <f t="shared" ca="1" si="76"/>
        <v>#NAME?</v>
      </c>
      <c r="AT49" s="53" t="e">
        <f t="shared" ca="1" si="76"/>
        <v>#NAME?</v>
      </c>
      <c r="AU49" s="56" t="e">
        <f t="shared" ca="1" si="76"/>
        <v>#NAME?</v>
      </c>
      <c r="AV49" s="57" t="e">
        <f t="shared" ca="1" si="76"/>
        <v>#NAME?</v>
      </c>
      <c r="AW49" s="3"/>
      <c r="AX49" s="3"/>
    </row>
    <row r="50" spans="1:50" ht="18.75" customHeight="1">
      <c r="A50" s="3">
        <f t="shared" si="8"/>
        <v>0</v>
      </c>
      <c r="B50" s="23" t="s">
        <v>21</v>
      </c>
      <c r="C50" s="24" t="e">
        <f t="shared" ca="1" si="15"/>
        <v>#NAME?</v>
      </c>
      <c r="D50" s="25"/>
      <c r="E50" s="32"/>
      <c r="F50" s="33"/>
      <c r="G50" s="28"/>
      <c r="H50" s="34"/>
      <c r="I50" s="2"/>
      <c r="J50" s="2"/>
      <c r="K50" s="29">
        <f t="shared" si="9"/>
        <v>0</v>
      </c>
      <c r="L50" s="29">
        <f t="shared" si="10"/>
        <v>0</v>
      </c>
      <c r="M50" s="29">
        <f t="shared" si="11"/>
        <v>0</v>
      </c>
      <c r="N50" s="30">
        <f t="shared" si="12"/>
        <v>5</v>
      </c>
      <c r="O50" s="31">
        <f t="shared" si="16"/>
        <v>30</v>
      </c>
      <c r="P50" s="82">
        <f t="shared" si="14"/>
        <v>24</v>
      </c>
      <c r="Q50" s="51" t="e">
        <f ca="1">WEEKNUM(DATE(YEAR(A1),MONTH(A1)+8,1+1*7)-WEEKDAY(DATE(YEAR(A1),MONTH(A1)+8,8-2)))</f>
        <v>#NAME?</v>
      </c>
      <c r="R50" s="62" t="e">
        <f ca="1">DATE(YEAR(A1),MONTH(A1)+8,1+1*7)-WEEKDAY(DATE(YEAR(A1),MONTH(A1)+8,8-2))</f>
        <v>#NAME?</v>
      </c>
      <c r="S50" s="63" t="e">
        <f t="shared" ref="S50:X50" ca="1" si="77">S49+7</f>
        <v>#NAME?</v>
      </c>
      <c r="T50" s="63" t="e">
        <f t="shared" ca="1" si="77"/>
        <v>#NAME?</v>
      </c>
      <c r="U50" s="63" t="e">
        <f t="shared" ca="1" si="77"/>
        <v>#NAME?</v>
      </c>
      <c r="V50" s="63" t="e">
        <f t="shared" ca="1" si="77"/>
        <v>#NAME?</v>
      </c>
      <c r="W50" s="70" t="e">
        <f t="shared" ca="1" si="77"/>
        <v>#NAME?</v>
      </c>
      <c r="X50" s="71" t="e">
        <f t="shared" ca="1" si="77"/>
        <v>#NAME?</v>
      </c>
      <c r="Y50" s="51" t="e">
        <f ca="1">WEEKNUM(DATE(YEAR(A1),MONTH(A1)+9,1+1*7)-WEEKDAY(DATE(YEAR(A1),MONTH(A1)+9,8-2)))</f>
        <v>#NAME?</v>
      </c>
      <c r="Z50" s="62" t="e">
        <f ca="1">DATE(YEAR(A1),MONTH(A1)+9,1+1*7)-WEEKDAY(DATE(YEAR(A1),MONTH(A1)+9,8-2))</f>
        <v>#NAME?</v>
      </c>
      <c r="AA50" s="63" t="e">
        <f t="shared" ref="AA50:AF50" ca="1" si="78">AA49+7</f>
        <v>#NAME?</v>
      </c>
      <c r="AB50" s="63" t="e">
        <f t="shared" ca="1" si="78"/>
        <v>#NAME?</v>
      </c>
      <c r="AC50" s="63" t="e">
        <f t="shared" ca="1" si="78"/>
        <v>#NAME?</v>
      </c>
      <c r="AD50" s="63" t="e">
        <f t="shared" ca="1" si="78"/>
        <v>#NAME?</v>
      </c>
      <c r="AE50" s="90" t="e">
        <f t="shared" ca="1" si="78"/>
        <v>#NAME?</v>
      </c>
      <c r="AF50" s="91" t="e">
        <f t="shared" ca="1" si="78"/>
        <v>#NAME?</v>
      </c>
      <c r="AG50" s="51" t="e">
        <f ca="1">WEEKNUM(DATE(YEAR(A1),MONTH(A1)+10,1+1*7)-WEEKDAY(DATE(YEAR(A1),MONTH(A1)+10,8-2)))</f>
        <v>#NAME?</v>
      </c>
      <c r="AH50" s="62" t="e">
        <f ca="1">DATE(YEAR(A1),MONTH(A1)+10,1+1*7)-WEEKDAY(DATE(YEAR(A1),MONTH(A1)+10,8-2))</f>
        <v>#NAME?</v>
      </c>
      <c r="AI50" s="63" t="e">
        <f t="shared" ref="AI50:AN50" ca="1" si="79">AI49+7</f>
        <v>#NAME?</v>
      </c>
      <c r="AJ50" s="63" t="e">
        <f t="shared" ca="1" si="79"/>
        <v>#NAME?</v>
      </c>
      <c r="AK50" s="63" t="e">
        <f t="shared" ca="1" si="79"/>
        <v>#NAME?</v>
      </c>
      <c r="AL50" s="63" t="e">
        <f t="shared" ca="1" si="79"/>
        <v>#NAME?</v>
      </c>
      <c r="AM50" s="64" t="e">
        <f t="shared" ca="1" si="79"/>
        <v>#NAME?</v>
      </c>
      <c r="AN50" s="65" t="e">
        <f t="shared" ca="1" si="79"/>
        <v>#NAME?</v>
      </c>
      <c r="AO50" s="51" t="e">
        <f ca="1">WEEKNUM(DATE(YEAR(A1),MONTH(A1)+11,1+1*7)-WEEKDAY(DATE(YEAR(A1),MONTH(A1)+11,8-2)))</f>
        <v>#NAME?</v>
      </c>
      <c r="AP50" s="62" t="e">
        <f ca="1">DATE(YEAR(A1),MONTH(A1)+11,1+1*7)-WEEKDAY(DATE(YEAR(A1),MONTH(A1)+11,8-2))</f>
        <v>#NAME?</v>
      </c>
      <c r="AQ50" s="63" t="e">
        <f t="shared" ref="AQ50:AV50" ca="1" si="80">AQ49+7</f>
        <v>#NAME?</v>
      </c>
      <c r="AR50" s="63" t="e">
        <f t="shared" ca="1" si="80"/>
        <v>#NAME?</v>
      </c>
      <c r="AS50" s="63" t="e">
        <f t="shared" ca="1" si="80"/>
        <v>#NAME?</v>
      </c>
      <c r="AT50" s="63" t="e">
        <f t="shared" ca="1" si="80"/>
        <v>#NAME?</v>
      </c>
      <c r="AU50" s="66" t="e">
        <f t="shared" ca="1" si="80"/>
        <v>#NAME?</v>
      </c>
      <c r="AV50" s="67" t="e">
        <f t="shared" ca="1" si="80"/>
        <v>#NAME?</v>
      </c>
      <c r="AW50" s="3"/>
      <c r="AX50" s="3"/>
    </row>
    <row r="51" spans="1:50" ht="18.75" customHeight="1">
      <c r="A51" s="3">
        <f t="shared" si="8"/>
        <v>0</v>
      </c>
      <c r="B51" s="23" t="s">
        <v>21</v>
      </c>
      <c r="C51" s="24" t="e">
        <f t="shared" ca="1" si="15"/>
        <v>#NAME?</v>
      </c>
      <c r="D51" s="25"/>
      <c r="E51" s="32"/>
      <c r="F51" s="33"/>
      <c r="G51" s="28"/>
      <c r="H51" s="34"/>
      <c r="I51" s="2"/>
      <c r="J51" s="2"/>
      <c r="K51" s="29">
        <f t="shared" si="9"/>
        <v>0</v>
      </c>
      <c r="L51" s="29">
        <f t="shared" si="10"/>
        <v>0</v>
      </c>
      <c r="M51" s="29">
        <f t="shared" si="11"/>
        <v>0</v>
      </c>
      <c r="N51" s="30">
        <f t="shared" si="12"/>
        <v>5</v>
      </c>
      <c r="O51" s="31">
        <f t="shared" si="16"/>
        <v>30</v>
      </c>
      <c r="P51" s="82">
        <f t="shared" si="14"/>
        <v>24</v>
      </c>
      <c r="Q51" s="51" t="e">
        <f t="shared" ref="Q51:Q53" ca="1" si="81">Q50+1</f>
        <v>#NAME?</v>
      </c>
      <c r="R51" s="62" t="e">
        <f t="shared" ref="R51:X51" ca="1" si="82">R50+7</f>
        <v>#NAME?</v>
      </c>
      <c r="S51" s="63" t="e">
        <f t="shared" ca="1" si="82"/>
        <v>#NAME?</v>
      </c>
      <c r="T51" s="63" t="e">
        <f t="shared" ca="1" si="82"/>
        <v>#NAME?</v>
      </c>
      <c r="U51" s="63" t="e">
        <f t="shared" ca="1" si="82"/>
        <v>#NAME?</v>
      </c>
      <c r="V51" s="63" t="e">
        <f t="shared" ca="1" si="82"/>
        <v>#NAME?</v>
      </c>
      <c r="W51" s="70" t="e">
        <f t="shared" ca="1" si="82"/>
        <v>#NAME?</v>
      </c>
      <c r="X51" s="71" t="e">
        <f t="shared" ca="1" si="82"/>
        <v>#NAME?</v>
      </c>
      <c r="Y51" s="51" t="e">
        <f t="shared" ref="Y51:Y53" ca="1" si="83">Y50+1</f>
        <v>#NAME?</v>
      </c>
      <c r="Z51" s="62" t="e">
        <f t="shared" ref="Z51:AF51" ca="1" si="84">Z50+7</f>
        <v>#NAME?</v>
      </c>
      <c r="AA51" s="63" t="e">
        <f t="shared" ca="1" si="84"/>
        <v>#NAME?</v>
      </c>
      <c r="AB51" s="63" t="e">
        <f t="shared" ca="1" si="84"/>
        <v>#NAME?</v>
      </c>
      <c r="AC51" s="63" t="e">
        <f t="shared" ca="1" si="84"/>
        <v>#NAME?</v>
      </c>
      <c r="AD51" s="63" t="e">
        <f t="shared" ca="1" si="84"/>
        <v>#NAME?</v>
      </c>
      <c r="AE51" s="90" t="e">
        <f t="shared" ca="1" si="84"/>
        <v>#NAME?</v>
      </c>
      <c r="AF51" s="91" t="e">
        <f t="shared" ca="1" si="84"/>
        <v>#NAME?</v>
      </c>
      <c r="AG51" s="51" t="e">
        <f t="shared" ref="AG51:AG53" ca="1" si="85">AG50+1</f>
        <v>#NAME?</v>
      </c>
      <c r="AH51" s="62" t="e">
        <f t="shared" ref="AH51:AN51" ca="1" si="86">AH50+7</f>
        <v>#NAME?</v>
      </c>
      <c r="AI51" s="63" t="e">
        <f t="shared" ca="1" si="86"/>
        <v>#NAME?</v>
      </c>
      <c r="AJ51" s="63" t="e">
        <f t="shared" ca="1" si="86"/>
        <v>#NAME?</v>
      </c>
      <c r="AK51" s="63" t="e">
        <f t="shared" ca="1" si="86"/>
        <v>#NAME?</v>
      </c>
      <c r="AL51" s="63" t="e">
        <f t="shared" ca="1" si="86"/>
        <v>#NAME?</v>
      </c>
      <c r="AM51" s="64" t="e">
        <f t="shared" ca="1" si="86"/>
        <v>#NAME?</v>
      </c>
      <c r="AN51" s="65" t="e">
        <f t="shared" ca="1" si="86"/>
        <v>#NAME?</v>
      </c>
      <c r="AO51" s="51" t="e">
        <f t="shared" ref="AO51:AO53" ca="1" si="87">AO50+1</f>
        <v>#NAME?</v>
      </c>
      <c r="AP51" s="62" t="e">
        <f t="shared" ref="AP51:AV51" ca="1" si="88">AP50+7</f>
        <v>#NAME?</v>
      </c>
      <c r="AQ51" s="63" t="e">
        <f t="shared" ca="1" si="88"/>
        <v>#NAME?</v>
      </c>
      <c r="AR51" s="63" t="e">
        <f t="shared" ca="1" si="88"/>
        <v>#NAME?</v>
      </c>
      <c r="AS51" s="63" t="e">
        <f t="shared" ca="1" si="88"/>
        <v>#NAME?</v>
      </c>
      <c r="AT51" s="63" t="e">
        <f t="shared" ca="1" si="88"/>
        <v>#NAME?</v>
      </c>
      <c r="AU51" s="66" t="e">
        <f t="shared" ca="1" si="88"/>
        <v>#NAME?</v>
      </c>
      <c r="AV51" s="67" t="e">
        <f t="shared" ca="1" si="88"/>
        <v>#NAME?</v>
      </c>
      <c r="AW51" s="3"/>
      <c r="AX51" s="3"/>
    </row>
    <row r="52" spans="1:50" ht="18.75" customHeight="1">
      <c r="A52" s="3">
        <f t="shared" si="8"/>
        <v>0</v>
      </c>
      <c r="B52" s="23" t="s">
        <v>21</v>
      </c>
      <c r="C52" s="24" t="e">
        <f t="shared" ca="1" si="15"/>
        <v>#NAME?</v>
      </c>
      <c r="D52" s="25"/>
      <c r="E52" s="32"/>
      <c r="F52" s="33"/>
      <c r="G52" s="28"/>
      <c r="H52" s="34"/>
      <c r="I52" s="2"/>
      <c r="J52" s="2"/>
      <c r="K52" s="29">
        <f t="shared" si="9"/>
        <v>0</v>
      </c>
      <c r="L52" s="29">
        <f t="shared" si="10"/>
        <v>0</v>
      </c>
      <c r="M52" s="29">
        <f t="shared" si="11"/>
        <v>0</v>
      </c>
      <c r="N52" s="30">
        <f t="shared" si="12"/>
        <v>5</v>
      </c>
      <c r="O52" s="31">
        <f t="shared" si="16"/>
        <v>30</v>
      </c>
      <c r="P52" s="82">
        <f t="shared" si="14"/>
        <v>24</v>
      </c>
      <c r="Q52" s="51" t="e">
        <f t="shared" ca="1" si="81"/>
        <v>#NAME?</v>
      </c>
      <c r="R52" s="62" t="e">
        <f t="shared" ref="R52:X52" ca="1" si="89">R51+7</f>
        <v>#NAME?</v>
      </c>
      <c r="S52" s="63" t="e">
        <f t="shared" ca="1" si="89"/>
        <v>#NAME?</v>
      </c>
      <c r="T52" s="63" t="e">
        <f t="shared" ca="1" si="89"/>
        <v>#NAME?</v>
      </c>
      <c r="U52" s="63" t="e">
        <f t="shared" ca="1" si="89"/>
        <v>#NAME?</v>
      </c>
      <c r="V52" s="63" t="e">
        <f t="shared" ca="1" si="89"/>
        <v>#NAME?</v>
      </c>
      <c r="W52" s="70" t="e">
        <f t="shared" ca="1" si="89"/>
        <v>#NAME?</v>
      </c>
      <c r="X52" s="71" t="e">
        <f t="shared" ca="1" si="89"/>
        <v>#NAME?</v>
      </c>
      <c r="Y52" s="51" t="e">
        <f t="shared" ca="1" si="83"/>
        <v>#NAME?</v>
      </c>
      <c r="Z52" s="62" t="e">
        <f t="shared" ref="Z52:AF52" ca="1" si="90">Z51+7</f>
        <v>#NAME?</v>
      </c>
      <c r="AA52" s="63" t="e">
        <f t="shared" ca="1" si="90"/>
        <v>#NAME?</v>
      </c>
      <c r="AB52" s="63" t="e">
        <f t="shared" ca="1" si="90"/>
        <v>#NAME?</v>
      </c>
      <c r="AC52" s="63" t="e">
        <f t="shared" ca="1" si="90"/>
        <v>#NAME?</v>
      </c>
      <c r="AD52" s="63" t="e">
        <f t="shared" ca="1" si="90"/>
        <v>#NAME?</v>
      </c>
      <c r="AE52" s="90" t="e">
        <f t="shared" ca="1" si="90"/>
        <v>#NAME?</v>
      </c>
      <c r="AF52" s="91" t="e">
        <f t="shared" ca="1" si="90"/>
        <v>#NAME?</v>
      </c>
      <c r="AG52" s="51" t="e">
        <f t="shared" ca="1" si="85"/>
        <v>#NAME?</v>
      </c>
      <c r="AH52" s="62" t="e">
        <f t="shared" ref="AH52:AN52" ca="1" si="91">AH51+7</f>
        <v>#NAME?</v>
      </c>
      <c r="AI52" s="63" t="e">
        <f t="shared" ca="1" si="91"/>
        <v>#NAME?</v>
      </c>
      <c r="AJ52" s="63" t="e">
        <f t="shared" ca="1" si="91"/>
        <v>#NAME?</v>
      </c>
      <c r="AK52" s="63" t="e">
        <f t="shared" ca="1" si="91"/>
        <v>#NAME?</v>
      </c>
      <c r="AL52" s="63" t="e">
        <f t="shared" ca="1" si="91"/>
        <v>#NAME?</v>
      </c>
      <c r="AM52" s="64" t="e">
        <f t="shared" ca="1" si="91"/>
        <v>#NAME?</v>
      </c>
      <c r="AN52" s="65" t="e">
        <f t="shared" ca="1" si="91"/>
        <v>#NAME?</v>
      </c>
      <c r="AO52" s="51" t="e">
        <f t="shared" ca="1" si="87"/>
        <v>#NAME?</v>
      </c>
      <c r="AP52" s="62" t="e">
        <f t="shared" ref="AP52:AV52" ca="1" si="92">AP51+7</f>
        <v>#NAME?</v>
      </c>
      <c r="AQ52" s="63" t="e">
        <f t="shared" ca="1" si="92"/>
        <v>#NAME?</v>
      </c>
      <c r="AR52" s="63" t="e">
        <f t="shared" ca="1" si="92"/>
        <v>#NAME?</v>
      </c>
      <c r="AS52" s="63" t="e">
        <f t="shared" ca="1" si="92"/>
        <v>#NAME?</v>
      </c>
      <c r="AT52" s="63" t="e">
        <f t="shared" ca="1" si="92"/>
        <v>#NAME?</v>
      </c>
      <c r="AU52" s="66" t="e">
        <f t="shared" ca="1" si="92"/>
        <v>#NAME?</v>
      </c>
      <c r="AV52" s="67" t="e">
        <f t="shared" ca="1" si="92"/>
        <v>#NAME?</v>
      </c>
      <c r="AW52" s="3"/>
      <c r="AX52" s="3"/>
    </row>
    <row r="53" spans="1:50" ht="18.75" customHeight="1">
      <c r="A53" s="3">
        <f t="shared" si="8"/>
        <v>0</v>
      </c>
      <c r="B53" s="23" t="s">
        <v>21</v>
      </c>
      <c r="C53" s="24" t="e">
        <f t="shared" ca="1" si="15"/>
        <v>#NAME?</v>
      </c>
      <c r="D53" s="25"/>
      <c r="E53" s="32"/>
      <c r="F53" s="33"/>
      <c r="G53" s="28"/>
      <c r="H53" s="34"/>
      <c r="I53" s="2"/>
      <c r="J53" s="2"/>
      <c r="K53" s="29">
        <f t="shared" si="9"/>
        <v>0</v>
      </c>
      <c r="L53" s="29">
        <f t="shared" si="10"/>
        <v>0</v>
      </c>
      <c r="M53" s="29">
        <f t="shared" si="11"/>
        <v>0</v>
      </c>
      <c r="N53" s="30">
        <f t="shared" si="12"/>
        <v>5</v>
      </c>
      <c r="O53" s="31">
        <f t="shared" si="16"/>
        <v>30</v>
      </c>
      <c r="P53" s="82">
        <f t="shared" si="14"/>
        <v>24</v>
      </c>
      <c r="Q53" s="51" t="e">
        <f t="shared" ca="1" si="81"/>
        <v>#NAME?</v>
      </c>
      <c r="R53" s="62" t="e">
        <f t="shared" ref="R53:X53" ca="1" si="93">R52+7</f>
        <v>#NAME?</v>
      </c>
      <c r="S53" s="63" t="e">
        <f t="shared" ca="1" si="93"/>
        <v>#NAME?</v>
      </c>
      <c r="T53" s="63" t="e">
        <f t="shared" ca="1" si="93"/>
        <v>#NAME?</v>
      </c>
      <c r="U53" s="63" t="e">
        <f t="shared" ca="1" si="93"/>
        <v>#NAME?</v>
      </c>
      <c r="V53" s="63" t="e">
        <f t="shared" ca="1" si="93"/>
        <v>#NAME?</v>
      </c>
      <c r="W53" s="70" t="e">
        <f t="shared" ca="1" si="93"/>
        <v>#NAME?</v>
      </c>
      <c r="X53" s="71" t="e">
        <f t="shared" ca="1" si="93"/>
        <v>#NAME?</v>
      </c>
      <c r="Y53" s="51" t="e">
        <f t="shared" ca="1" si="83"/>
        <v>#NAME?</v>
      </c>
      <c r="Z53" s="62" t="e">
        <f t="shared" ref="Z53:AF53" ca="1" si="94">Z52+7</f>
        <v>#NAME?</v>
      </c>
      <c r="AA53" s="63" t="e">
        <f t="shared" ca="1" si="94"/>
        <v>#NAME?</v>
      </c>
      <c r="AB53" s="63" t="e">
        <f t="shared" ca="1" si="94"/>
        <v>#NAME?</v>
      </c>
      <c r="AC53" s="63" t="e">
        <f t="shared" ca="1" si="94"/>
        <v>#NAME?</v>
      </c>
      <c r="AD53" s="63" t="e">
        <f t="shared" ca="1" si="94"/>
        <v>#NAME?</v>
      </c>
      <c r="AE53" s="90" t="e">
        <f t="shared" ca="1" si="94"/>
        <v>#NAME?</v>
      </c>
      <c r="AF53" s="91" t="e">
        <f t="shared" ca="1" si="94"/>
        <v>#NAME?</v>
      </c>
      <c r="AG53" s="51" t="e">
        <f t="shared" ca="1" si="85"/>
        <v>#NAME?</v>
      </c>
      <c r="AH53" s="62" t="e">
        <f t="shared" ref="AH53:AN53" ca="1" si="95">AH52+7</f>
        <v>#NAME?</v>
      </c>
      <c r="AI53" s="63" t="e">
        <f t="shared" ca="1" si="95"/>
        <v>#NAME?</v>
      </c>
      <c r="AJ53" s="63" t="e">
        <f t="shared" ca="1" si="95"/>
        <v>#NAME?</v>
      </c>
      <c r="AK53" s="63" t="e">
        <f t="shared" ca="1" si="95"/>
        <v>#NAME?</v>
      </c>
      <c r="AL53" s="63" t="e">
        <f t="shared" ca="1" si="95"/>
        <v>#NAME?</v>
      </c>
      <c r="AM53" s="64" t="e">
        <f t="shared" ca="1" si="95"/>
        <v>#NAME?</v>
      </c>
      <c r="AN53" s="65" t="e">
        <f t="shared" ca="1" si="95"/>
        <v>#NAME?</v>
      </c>
      <c r="AO53" s="51" t="e">
        <f t="shared" ca="1" si="87"/>
        <v>#NAME?</v>
      </c>
      <c r="AP53" s="62" t="e">
        <f t="shared" ref="AP53:AV53" ca="1" si="96">AP52+7</f>
        <v>#NAME?</v>
      </c>
      <c r="AQ53" s="63" t="e">
        <f t="shared" ca="1" si="96"/>
        <v>#NAME?</v>
      </c>
      <c r="AR53" s="63" t="e">
        <f t="shared" ca="1" si="96"/>
        <v>#NAME?</v>
      </c>
      <c r="AS53" s="63" t="e">
        <f t="shared" ca="1" si="96"/>
        <v>#NAME?</v>
      </c>
      <c r="AT53" s="63" t="e">
        <f t="shared" ca="1" si="96"/>
        <v>#NAME?</v>
      </c>
      <c r="AU53" s="66" t="e">
        <f t="shared" ca="1" si="96"/>
        <v>#NAME?</v>
      </c>
      <c r="AV53" s="67" t="e">
        <f t="shared" ca="1" si="96"/>
        <v>#NAME?</v>
      </c>
      <c r="AW53" s="3"/>
      <c r="AX53" s="3"/>
    </row>
    <row r="54" spans="1:50" ht="18.75" customHeight="1">
      <c r="A54" s="3">
        <f t="shared" si="8"/>
        <v>0</v>
      </c>
      <c r="B54" s="23" t="s">
        <v>21</v>
      </c>
      <c r="C54" s="24" t="e">
        <f t="shared" ca="1" si="15"/>
        <v>#NAME?</v>
      </c>
      <c r="D54" s="25"/>
      <c r="E54" s="32"/>
      <c r="F54" s="33"/>
      <c r="G54" s="28"/>
      <c r="H54" s="34"/>
      <c r="I54" s="2"/>
      <c r="J54" s="2"/>
      <c r="K54" s="29">
        <f t="shared" si="9"/>
        <v>0</v>
      </c>
      <c r="L54" s="29">
        <f t="shared" si="10"/>
        <v>0</v>
      </c>
      <c r="M54" s="29">
        <f t="shared" si="11"/>
        <v>0</v>
      </c>
      <c r="N54" s="30">
        <f t="shared" si="12"/>
        <v>5</v>
      </c>
      <c r="O54" s="31">
        <f t="shared" si="16"/>
        <v>30</v>
      </c>
      <c r="P54" s="82">
        <f t="shared" si="14"/>
        <v>24</v>
      </c>
      <c r="Q54" s="51" t="e">
        <f ca="1">IF(Q53=52,1,Q53+1)</f>
        <v>#NAME?</v>
      </c>
      <c r="R54" s="72" t="e">
        <f t="shared" ref="R54:X54" ca="1" si="97">R53+7</f>
        <v>#NAME?</v>
      </c>
      <c r="S54" s="73" t="e">
        <f t="shared" ca="1" si="97"/>
        <v>#NAME?</v>
      </c>
      <c r="T54" s="73" t="e">
        <f t="shared" ca="1" si="97"/>
        <v>#NAME?</v>
      </c>
      <c r="U54" s="73" t="e">
        <f t="shared" ca="1" si="97"/>
        <v>#NAME?</v>
      </c>
      <c r="V54" s="73" t="e">
        <f t="shared" ca="1" si="97"/>
        <v>#NAME?</v>
      </c>
      <c r="W54" s="80" t="e">
        <f t="shared" ca="1" si="97"/>
        <v>#NAME?</v>
      </c>
      <c r="X54" s="81" t="e">
        <f t="shared" ca="1" si="97"/>
        <v>#NAME?</v>
      </c>
      <c r="Y54" s="51" t="e">
        <f ca="1">IF(Y53=52,1,Y53+1)</f>
        <v>#NAME?</v>
      </c>
      <c r="Z54" s="72" t="e">
        <f t="shared" ref="Z54:AF54" ca="1" si="98">Z53+7</f>
        <v>#NAME?</v>
      </c>
      <c r="AA54" s="73" t="e">
        <f t="shared" ca="1" si="98"/>
        <v>#NAME?</v>
      </c>
      <c r="AB54" s="73" t="e">
        <f t="shared" ca="1" si="98"/>
        <v>#NAME?</v>
      </c>
      <c r="AC54" s="73" t="e">
        <f t="shared" ca="1" si="98"/>
        <v>#NAME?</v>
      </c>
      <c r="AD54" s="73" t="e">
        <f t="shared" ca="1" si="98"/>
        <v>#NAME?</v>
      </c>
      <c r="AE54" s="92" t="e">
        <f t="shared" ca="1" si="98"/>
        <v>#NAME?</v>
      </c>
      <c r="AF54" s="93" t="e">
        <f t="shared" ca="1" si="98"/>
        <v>#NAME?</v>
      </c>
      <c r="AG54" s="51" t="e">
        <f ca="1">IF(AG53=52,1,AG53+1)</f>
        <v>#NAME?</v>
      </c>
      <c r="AH54" s="72" t="e">
        <f t="shared" ref="AH54:AN54" ca="1" si="99">AH53+7</f>
        <v>#NAME?</v>
      </c>
      <c r="AI54" s="73" t="e">
        <f t="shared" ca="1" si="99"/>
        <v>#NAME?</v>
      </c>
      <c r="AJ54" s="73" t="e">
        <f t="shared" ca="1" si="99"/>
        <v>#NAME?</v>
      </c>
      <c r="AK54" s="73" t="e">
        <f t="shared" ca="1" si="99"/>
        <v>#NAME?</v>
      </c>
      <c r="AL54" s="73" t="e">
        <f t="shared" ca="1" si="99"/>
        <v>#NAME?</v>
      </c>
      <c r="AM54" s="74" t="e">
        <f t="shared" ca="1" si="99"/>
        <v>#NAME?</v>
      </c>
      <c r="AN54" s="75" t="e">
        <f t="shared" ca="1" si="99"/>
        <v>#NAME?</v>
      </c>
      <c r="AO54" s="51" t="e">
        <f ca="1">IF(AO53=52,1,AO53+1)</f>
        <v>#NAME?</v>
      </c>
      <c r="AP54" s="72" t="e">
        <f t="shared" ref="AP54:AV54" ca="1" si="100">AP53+7</f>
        <v>#NAME?</v>
      </c>
      <c r="AQ54" s="73" t="e">
        <f t="shared" ca="1" si="100"/>
        <v>#NAME?</v>
      </c>
      <c r="AR54" s="73" t="e">
        <f t="shared" ca="1" si="100"/>
        <v>#NAME?</v>
      </c>
      <c r="AS54" s="73" t="e">
        <f t="shared" ca="1" si="100"/>
        <v>#NAME?</v>
      </c>
      <c r="AT54" s="73" t="e">
        <f t="shared" ca="1" si="100"/>
        <v>#NAME?</v>
      </c>
      <c r="AU54" s="76" t="e">
        <f t="shared" ca="1" si="100"/>
        <v>#NAME?</v>
      </c>
      <c r="AV54" s="77" t="e">
        <f t="shared" ca="1" si="100"/>
        <v>#NAME?</v>
      </c>
      <c r="AW54" s="3"/>
      <c r="AX54" s="3"/>
    </row>
    <row r="55" spans="1:50" ht="18.75" customHeight="1">
      <c r="A55" s="3">
        <f t="shared" si="8"/>
        <v>0</v>
      </c>
      <c r="B55" s="38" t="s">
        <v>21</v>
      </c>
      <c r="C55" s="39" t="e">
        <f t="shared" ca="1" si="15"/>
        <v>#NAME?</v>
      </c>
      <c r="D55" s="25"/>
      <c r="E55" s="32"/>
      <c r="F55" s="33"/>
      <c r="G55" s="28"/>
      <c r="H55" s="34"/>
      <c r="I55" s="2"/>
      <c r="J55" s="2"/>
      <c r="K55" s="29">
        <f t="shared" si="9"/>
        <v>0</v>
      </c>
      <c r="L55" s="29">
        <f t="shared" si="10"/>
        <v>0</v>
      </c>
      <c r="M55" s="29">
        <f t="shared" si="11"/>
        <v>0</v>
      </c>
      <c r="N55" s="30">
        <f t="shared" si="12"/>
        <v>5</v>
      </c>
      <c r="O55" s="31">
        <f t="shared" si="16"/>
        <v>30</v>
      </c>
      <c r="P55" s="82">
        <f t="shared" si="14"/>
        <v>24</v>
      </c>
      <c r="Q55" s="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3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3"/>
      <c r="AX55" s="3"/>
    </row>
    <row r="56" spans="1:50" ht="18.75" customHeight="1">
      <c r="A56" s="3">
        <f t="shared" si="8"/>
        <v>0</v>
      </c>
      <c r="B56" s="23" t="s">
        <v>21</v>
      </c>
      <c r="C56" s="24" t="e">
        <f t="shared" ca="1" si="15"/>
        <v>#NAME?</v>
      </c>
      <c r="D56" s="25"/>
      <c r="E56" s="32"/>
      <c r="F56" s="33"/>
      <c r="G56" s="28"/>
      <c r="H56" s="34"/>
      <c r="I56" s="2"/>
      <c r="J56" s="2"/>
      <c r="K56" s="29">
        <f t="shared" si="9"/>
        <v>0</v>
      </c>
      <c r="L56" s="29">
        <f t="shared" si="10"/>
        <v>0</v>
      </c>
      <c r="M56" s="29">
        <f t="shared" si="11"/>
        <v>0</v>
      </c>
      <c r="N56" s="30">
        <f t="shared" si="12"/>
        <v>5</v>
      </c>
      <c r="O56" s="31">
        <f t="shared" si="16"/>
        <v>30</v>
      </c>
      <c r="P56" s="82">
        <f t="shared" si="14"/>
        <v>24</v>
      </c>
      <c r="Q56" s="5"/>
      <c r="AW56" s="5"/>
      <c r="AX56" s="5"/>
    </row>
    <row r="57" spans="1:50" ht="18.75" customHeight="1">
      <c r="A57" s="3">
        <f t="shared" si="8"/>
        <v>0</v>
      </c>
      <c r="B57" s="23" t="s">
        <v>21</v>
      </c>
      <c r="C57" s="24" t="e">
        <f t="shared" ca="1" si="15"/>
        <v>#NAME?</v>
      </c>
      <c r="D57" s="25"/>
      <c r="E57" s="32"/>
      <c r="F57" s="33"/>
      <c r="G57" s="28"/>
      <c r="H57" s="34"/>
      <c r="I57" s="2"/>
      <c r="J57" s="2"/>
      <c r="K57" s="29">
        <f t="shared" si="9"/>
        <v>0</v>
      </c>
      <c r="L57" s="29">
        <f t="shared" si="10"/>
        <v>0</v>
      </c>
      <c r="M57" s="29">
        <f t="shared" si="11"/>
        <v>0</v>
      </c>
      <c r="N57" s="30">
        <f t="shared" si="12"/>
        <v>5</v>
      </c>
      <c r="O57" s="31">
        <f t="shared" si="16"/>
        <v>30</v>
      </c>
      <c r="P57" s="82">
        <f t="shared" si="14"/>
        <v>24</v>
      </c>
      <c r="Q57" s="5"/>
      <c r="AW57" s="5"/>
      <c r="AX57" s="5"/>
    </row>
    <row r="58" spans="1:50" ht="18.75" customHeight="1">
      <c r="A58" s="3">
        <f t="shared" si="8"/>
        <v>0</v>
      </c>
      <c r="B58" s="23" t="s">
        <v>21</v>
      </c>
      <c r="C58" s="24" t="e">
        <f t="shared" ca="1" si="15"/>
        <v>#NAME?</v>
      </c>
      <c r="D58" s="25"/>
      <c r="E58" s="32"/>
      <c r="F58" s="33"/>
      <c r="G58" s="28"/>
      <c r="H58" s="34"/>
      <c r="I58" s="2"/>
      <c r="J58" s="2"/>
      <c r="K58" s="29">
        <f t="shared" si="9"/>
        <v>0</v>
      </c>
      <c r="L58" s="29">
        <f t="shared" si="10"/>
        <v>0</v>
      </c>
      <c r="M58" s="29">
        <f t="shared" si="11"/>
        <v>0</v>
      </c>
      <c r="N58" s="30">
        <f t="shared" si="12"/>
        <v>5</v>
      </c>
      <c r="O58" s="31">
        <f t="shared" si="16"/>
        <v>30</v>
      </c>
      <c r="P58" s="82">
        <f t="shared" si="14"/>
        <v>24</v>
      </c>
      <c r="Q58" s="5"/>
      <c r="AW58" s="5"/>
      <c r="AX58" s="5"/>
    </row>
    <row r="59" spans="1:50" ht="18.75" customHeight="1">
      <c r="A59" s="3">
        <f t="shared" si="8"/>
        <v>0</v>
      </c>
      <c r="B59" s="23" t="s">
        <v>21</v>
      </c>
      <c r="C59" s="24" t="e">
        <f t="shared" ca="1" si="15"/>
        <v>#NAME?</v>
      </c>
      <c r="D59" s="25"/>
      <c r="E59" s="32"/>
      <c r="F59" s="33"/>
      <c r="G59" s="28"/>
      <c r="H59" s="34"/>
      <c r="I59" s="2"/>
      <c r="J59" s="2"/>
      <c r="K59" s="29">
        <f t="shared" si="9"/>
        <v>0</v>
      </c>
      <c r="L59" s="29">
        <f t="shared" si="10"/>
        <v>0</v>
      </c>
      <c r="M59" s="29">
        <f t="shared" si="11"/>
        <v>0</v>
      </c>
      <c r="N59" s="30">
        <f t="shared" si="12"/>
        <v>5</v>
      </c>
      <c r="O59" s="31">
        <f t="shared" si="16"/>
        <v>30</v>
      </c>
      <c r="P59" s="82">
        <f t="shared" si="14"/>
        <v>24</v>
      </c>
      <c r="Q59" s="5"/>
      <c r="AW59" s="5"/>
      <c r="AX59" s="5"/>
    </row>
    <row r="60" spans="1:50" ht="18.75" customHeight="1">
      <c r="A60" s="3">
        <f t="shared" si="8"/>
        <v>0</v>
      </c>
      <c r="B60" s="23" t="s">
        <v>21</v>
      </c>
      <c r="C60" s="24" t="e">
        <f t="shared" ca="1" si="15"/>
        <v>#NAME?</v>
      </c>
      <c r="D60" s="25"/>
      <c r="E60" s="32"/>
      <c r="F60" s="33"/>
      <c r="G60" s="28"/>
      <c r="H60" s="34"/>
      <c r="I60" s="2"/>
      <c r="J60" s="2"/>
      <c r="K60" s="29">
        <f t="shared" si="9"/>
        <v>0</v>
      </c>
      <c r="L60" s="29">
        <f t="shared" si="10"/>
        <v>0</v>
      </c>
      <c r="M60" s="29">
        <f t="shared" si="11"/>
        <v>0</v>
      </c>
      <c r="N60" s="30">
        <f t="shared" si="12"/>
        <v>5</v>
      </c>
      <c r="O60" s="31">
        <f t="shared" si="16"/>
        <v>30</v>
      </c>
      <c r="P60" s="82">
        <f t="shared" si="14"/>
        <v>24</v>
      </c>
      <c r="Q60" s="5"/>
      <c r="AW60" s="5"/>
      <c r="AX60" s="5"/>
    </row>
    <row r="61" spans="1:50" ht="18.75" customHeight="1">
      <c r="A61" s="3">
        <f t="shared" si="8"/>
        <v>0</v>
      </c>
      <c r="B61" s="23" t="s">
        <v>21</v>
      </c>
      <c r="C61" s="24" t="e">
        <f t="shared" ca="1" si="15"/>
        <v>#NAME?</v>
      </c>
      <c r="D61" s="25"/>
      <c r="E61" s="32"/>
      <c r="F61" s="33"/>
      <c r="G61" s="28"/>
      <c r="H61" s="34"/>
      <c r="I61" s="2"/>
      <c r="J61" s="2"/>
      <c r="K61" s="29">
        <f t="shared" si="9"/>
        <v>0</v>
      </c>
      <c r="L61" s="29">
        <f t="shared" si="10"/>
        <v>0</v>
      </c>
      <c r="M61" s="29">
        <f t="shared" si="11"/>
        <v>0</v>
      </c>
      <c r="N61" s="30">
        <f t="shared" si="12"/>
        <v>5</v>
      </c>
      <c r="O61" s="31">
        <f t="shared" si="16"/>
        <v>30</v>
      </c>
      <c r="P61" s="82">
        <f t="shared" si="14"/>
        <v>24</v>
      </c>
      <c r="Q61" s="5"/>
      <c r="AW61" s="5"/>
      <c r="AX61" s="5"/>
    </row>
    <row r="62" spans="1:50" ht="18.75" customHeight="1">
      <c r="A62" s="3">
        <f t="shared" si="8"/>
        <v>0</v>
      </c>
      <c r="B62" s="38" t="s">
        <v>21</v>
      </c>
      <c r="C62" s="39" t="e">
        <f t="shared" ca="1" si="15"/>
        <v>#NAME?</v>
      </c>
      <c r="D62" s="25"/>
      <c r="E62" s="32"/>
      <c r="F62" s="33"/>
      <c r="G62" s="28"/>
      <c r="H62" s="34"/>
      <c r="I62" s="2"/>
      <c r="J62" s="2"/>
      <c r="K62" s="29">
        <f t="shared" si="9"/>
        <v>0</v>
      </c>
      <c r="L62" s="29">
        <f t="shared" si="10"/>
        <v>0</v>
      </c>
      <c r="M62" s="29">
        <f t="shared" si="11"/>
        <v>0</v>
      </c>
      <c r="N62" s="30">
        <f t="shared" si="12"/>
        <v>5</v>
      </c>
      <c r="O62" s="31">
        <f t="shared" si="16"/>
        <v>30</v>
      </c>
      <c r="P62" s="82">
        <f t="shared" si="14"/>
        <v>24</v>
      </c>
      <c r="Q62" s="5"/>
      <c r="AW62" s="5"/>
      <c r="AX62" s="5"/>
    </row>
    <row r="63" spans="1:50" ht="18.75" customHeight="1">
      <c r="A63" s="3">
        <f t="shared" si="8"/>
        <v>0</v>
      </c>
      <c r="B63" s="23" t="s">
        <v>21</v>
      </c>
      <c r="C63" s="24" t="e">
        <f t="shared" ca="1" si="15"/>
        <v>#NAME?</v>
      </c>
      <c r="D63" s="25"/>
      <c r="E63" s="32"/>
      <c r="F63" s="33"/>
      <c r="G63" s="28"/>
      <c r="H63" s="34"/>
      <c r="I63" s="2"/>
      <c r="J63" s="2"/>
      <c r="K63" s="29">
        <f t="shared" si="9"/>
        <v>0</v>
      </c>
      <c r="L63" s="29">
        <f t="shared" si="10"/>
        <v>0</v>
      </c>
      <c r="M63" s="29">
        <f t="shared" si="11"/>
        <v>0</v>
      </c>
      <c r="N63" s="30">
        <f t="shared" si="12"/>
        <v>5</v>
      </c>
      <c r="O63" s="31">
        <f t="shared" si="16"/>
        <v>30</v>
      </c>
      <c r="P63" s="82">
        <f t="shared" si="14"/>
        <v>24</v>
      </c>
      <c r="Q63" s="5"/>
      <c r="AW63" s="5"/>
      <c r="AX63" s="5"/>
    </row>
    <row r="64" spans="1:50" ht="18.75" customHeight="1">
      <c r="A64" s="3">
        <f t="shared" si="8"/>
        <v>0</v>
      </c>
      <c r="B64" s="23" t="s">
        <v>21</v>
      </c>
      <c r="C64" s="24" t="e">
        <f t="shared" ca="1" si="15"/>
        <v>#NAME?</v>
      </c>
      <c r="D64" s="25"/>
      <c r="E64" s="32"/>
      <c r="F64" s="33"/>
      <c r="G64" s="28"/>
      <c r="H64" s="34"/>
      <c r="I64" s="2"/>
      <c r="J64" s="2"/>
      <c r="K64" s="29">
        <f t="shared" si="9"/>
        <v>0</v>
      </c>
      <c r="L64" s="29">
        <f t="shared" si="10"/>
        <v>0</v>
      </c>
      <c r="M64" s="29">
        <f t="shared" si="11"/>
        <v>0</v>
      </c>
      <c r="N64" s="30">
        <f t="shared" si="12"/>
        <v>5</v>
      </c>
      <c r="O64" s="31">
        <f t="shared" si="16"/>
        <v>30</v>
      </c>
      <c r="P64" s="82">
        <f t="shared" si="14"/>
        <v>24</v>
      </c>
      <c r="Q64" s="5"/>
      <c r="AW64" s="5"/>
      <c r="AX64" s="5"/>
    </row>
    <row r="65" spans="1:50" ht="18.75" customHeight="1">
      <c r="A65" s="3">
        <f t="shared" si="8"/>
        <v>0</v>
      </c>
      <c r="B65" s="23" t="s">
        <v>21</v>
      </c>
      <c r="C65" s="24" t="e">
        <f t="shared" ca="1" si="15"/>
        <v>#NAME?</v>
      </c>
      <c r="D65" s="25"/>
      <c r="E65" s="32"/>
      <c r="F65" s="33"/>
      <c r="G65" s="28"/>
      <c r="H65" s="34"/>
      <c r="I65" s="2"/>
      <c r="J65" s="2"/>
      <c r="K65" s="29">
        <f t="shared" si="9"/>
        <v>0</v>
      </c>
      <c r="L65" s="29">
        <f t="shared" si="10"/>
        <v>0</v>
      </c>
      <c r="M65" s="29">
        <f t="shared" si="11"/>
        <v>0</v>
      </c>
      <c r="N65" s="30">
        <f t="shared" si="12"/>
        <v>5</v>
      </c>
      <c r="O65" s="31">
        <f t="shared" si="16"/>
        <v>30</v>
      </c>
      <c r="P65" s="82">
        <f t="shared" si="14"/>
        <v>24</v>
      </c>
      <c r="Q65" s="5"/>
      <c r="AW65" s="5"/>
      <c r="AX65" s="5"/>
    </row>
    <row r="66" spans="1:50" ht="18.75" customHeight="1">
      <c r="A66" s="3">
        <f t="shared" si="8"/>
        <v>0</v>
      </c>
      <c r="B66" s="23" t="s">
        <v>21</v>
      </c>
      <c r="C66" s="24" t="e">
        <f t="shared" ca="1" si="15"/>
        <v>#NAME?</v>
      </c>
      <c r="D66" s="25"/>
      <c r="E66" s="32"/>
      <c r="F66" s="33"/>
      <c r="G66" s="28"/>
      <c r="H66" s="34"/>
      <c r="I66" s="2"/>
      <c r="J66" s="2"/>
      <c r="K66" s="29">
        <f t="shared" si="9"/>
        <v>0</v>
      </c>
      <c r="L66" s="29">
        <f t="shared" si="10"/>
        <v>0</v>
      </c>
      <c r="M66" s="29">
        <f t="shared" si="11"/>
        <v>0</v>
      </c>
      <c r="N66" s="30">
        <f t="shared" si="12"/>
        <v>5</v>
      </c>
      <c r="O66" s="31">
        <f t="shared" si="16"/>
        <v>30</v>
      </c>
      <c r="P66" s="82">
        <f t="shared" si="14"/>
        <v>24</v>
      </c>
      <c r="Q66" s="5"/>
      <c r="AW66" s="5"/>
      <c r="AX66" s="5"/>
    </row>
    <row r="67" spans="1:50" ht="18.75" customHeight="1">
      <c r="A67" s="3"/>
      <c r="I67" s="2"/>
      <c r="J67" s="2"/>
      <c r="K67" s="2"/>
      <c r="L67" s="2"/>
      <c r="M67" s="2"/>
      <c r="N67" s="2"/>
      <c r="O67" s="5"/>
      <c r="P67" s="5"/>
      <c r="Q67" s="5"/>
      <c r="AW67" s="5"/>
      <c r="AX67" s="5"/>
    </row>
  </sheetData>
  <mergeCells count="168">
    <mergeCell ref="AA20:AB20"/>
    <mergeCell ref="AA21:AB21"/>
    <mergeCell ref="AC21:AD21"/>
    <mergeCell ref="AE21:AF21"/>
    <mergeCell ref="AI21:AJ21"/>
    <mergeCell ref="R20:T20"/>
    <mergeCell ref="U20:V20"/>
    <mergeCell ref="W20:X20"/>
    <mergeCell ref="Y20:Z20"/>
    <mergeCell ref="AC20:AD20"/>
    <mergeCell ref="AE20:AF20"/>
    <mergeCell ref="R21:T21"/>
    <mergeCell ref="AG18:AH18"/>
    <mergeCell ref="AI18:AJ18"/>
    <mergeCell ref="AK18:AT18"/>
    <mergeCell ref="AU18:AV18"/>
    <mergeCell ref="R18:T18"/>
    <mergeCell ref="U18:V18"/>
    <mergeCell ref="W18:X18"/>
    <mergeCell ref="Y18:Z18"/>
    <mergeCell ref="AA18:AB18"/>
    <mergeCell ref="AC18:AD18"/>
    <mergeCell ref="AE18:AF18"/>
    <mergeCell ref="AK17:AT17"/>
    <mergeCell ref="AU17:AV17"/>
    <mergeCell ref="R17:T17"/>
    <mergeCell ref="U17:V17"/>
    <mergeCell ref="W17:X17"/>
    <mergeCell ref="Y17:Z17"/>
    <mergeCell ref="AA17:AB17"/>
    <mergeCell ref="AC17:AD17"/>
    <mergeCell ref="AE17:AF17"/>
    <mergeCell ref="R16:T16"/>
    <mergeCell ref="U16:V16"/>
    <mergeCell ref="W16:X16"/>
    <mergeCell ref="Y16:Z16"/>
    <mergeCell ref="AA16:AB16"/>
    <mergeCell ref="AC16:AD16"/>
    <mergeCell ref="AE16:AF16"/>
    <mergeCell ref="AG17:AH17"/>
    <mergeCell ref="AI17:AJ17"/>
    <mergeCell ref="R14:T14"/>
    <mergeCell ref="U14:V14"/>
    <mergeCell ref="W14:X14"/>
    <mergeCell ref="Y14:Z14"/>
    <mergeCell ref="AA14:AB14"/>
    <mergeCell ref="AC14:AD14"/>
    <mergeCell ref="AE14:AF14"/>
    <mergeCell ref="AG15:AH15"/>
    <mergeCell ref="AI15:AJ15"/>
    <mergeCell ref="R15:T15"/>
    <mergeCell ref="U15:V15"/>
    <mergeCell ref="W15:X15"/>
    <mergeCell ref="Y15:Z15"/>
    <mergeCell ref="AA15:AB15"/>
    <mergeCell ref="AC15:AD15"/>
    <mergeCell ref="AE15:AF15"/>
    <mergeCell ref="U10:V10"/>
    <mergeCell ref="W10:X10"/>
    <mergeCell ref="Y10:Z10"/>
    <mergeCell ref="AA10:AB10"/>
    <mergeCell ref="AC10:AD10"/>
    <mergeCell ref="AE10:AF10"/>
    <mergeCell ref="AG14:AH14"/>
    <mergeCell ref="AI14:AJ14"/>
    <mergeCell ref="AK14:AT14"/>
    <mergeCell ref="B8:D8"/>
    <mergeCell ref="B9:D9"/>
    <mergeCell ref="E9:H9"/>
    <mergeCell ref="B10:D10"/>
    <mergeCell ref="E10:H10"/>
    <mergeCell ref="B6:H7"/>
    <mergeCell ref="M6:N6"/>
    <mergeCell ref="R6:AV7"/>
    <mergeCell ref="E8:H8"/>
    <mergeCell ref="U8:V8"/>
    <mergeCell ref="W8:X8"/>
    <mergeCell ref="AK8:AV8"/>
    <mergeCell ref="Y8:Z8"/>
    <mergeCell ref="AA8:AB8"/>
    <mergeCell ref="R9:T9"/>
    <mergeCell ref="U9:V9"/>
    <mergeCell ref="W9:X9"/>
    <mergeCell ref="Y9:Z9"/>
    <mergeCell ref="AA9:AB9"/>
    <mergeCell ref="AG10:AH10"/>
    <mergeCell ref="AI10:AJ10"/>
    <mergeCell ref="AK10:AT10"/>
    <mergeCell ref="AU10:AV10"/>
    <mergeCell ref="R10:T10"/>
    <mergeCell ref="AG20:AH20"/>
    <mergeCell ref="AI20:AJ20"/>
    <mergeCell ref="AK20:AT20"/>
    <mergeCell ref="AU20:AV20"/>
    <mergeCell ref="Z24:AF25"/>
    <mergeCell ref="AH24:AN25"/>
    <mergeCell ref="AP24:AV25"/>
    <mergeCell ref="AC8:AD8"/>
    <mergeCell ref="AE8:AF8"/>
    <mergeCell ref="AC9:AD9"/>
    <mergeCell ref="AE9:AF9"/>
    <mergeCell ref="AG8:AH8"/>
    <mergeCell ref="AI8:AJ8"/>
    <mergeCell ref="AG9:AH9"/>
    <mergeCell ref="AI9:AJ9"/>
    <mergeCell ref="AK9:AT9"/>
    <mergeCell ref="AU9:AV9"/>
    <mergeCell ref="AU14:AV14"/>
    <mergeCell ref="AK15:AT15"/>
    <mergeCell ref="AU15:AV15"/>
    <mergeCell ref="AG16:AH16"/>
    <mergeCell ref="AI16:AJ16"/>
    <mergeCell ref="AK16:AT16"/>
    <mergeCell ref="AU16:AV16"/>
    <mergeCell ref="AG13:AH13"/>
    <mergeCell ref="AI13:AJ13"/>
    <mergeCell ref="AK13:AT13"/>
    <mergeCell ref="AU13:AV13"/>
    <mergeCell ref="R13:T13"/>
    <mergeCell ref="U13:V13"/>
    <mergeCell ref="W13:X13"/>
    <mergeCell ref="Y13:Z13"/>
    <mergeCell ref="AA13:AB13"/>
    <mergeCell ref="AC13:AD13"/>
    <mergeCell ref="AE13:AF13"/>
    <mergeCell ref="AG12:AH12"/>
    <mergeCell ref="AI12:AJ12"/>
    <mergeCell ref="AK12:AT12"/>
    <mergeCell ref="AU12:AV12"/>
    <mergeCell ref="R12:T12"/>
    <mergeCell ref="U12:V12"/>
    <mergeCell ref="W12:X12"/>
    <mergeCell ref="Y12:Z12"/>
    <mergeCell ref="AA12:AB12"/>
    <mergeCell ref="AC12:AD12"/>
    <mergeCell ref="AE12:AF12"/>
    <mergeCell ref="AG11:AH11"/>
    <mergeCell ref="AI11:AJ11"/>
    <mergeCell ref="AK11:AT11"/>
    <mergeCell ref="AU11:AV11"/>
    <mergeCell ref="R11:T11"/>
    <mergeCell ref="U11:V11"/>
    <mergeCell ref="W11:X11"/>
    <mergeCell ref="Y11:Z11"/>
    <mergeCell ref="AA11:AB11"/>
    <mergeCell ref="AC11:AD11"/>
    <mergeCell ref="AE11:AF11"/>
    <mergeCell ref="Z46:AF47"/>
    <mergeCell ref="AH46:AN47"/>
    <mergeCell ref="R24:X25"/>
    <mergeCell ref="R35:X36"/>
    <mergeCell ref="Z35:AF36"/>
    <mergeCell ref="AH35:AN36"/>
    <mergeCell ref="AP35:AV36"/>
    <mergeCell ref="Z45:AA45"/>
    <mergeCell ref="R46:X47"/>
    <mergeCell ref="AP46:AV47"/>
    <mergeCell ref="AG19:AH19"/>
    <mergeCell ref="AI19:AJ19"/>
    <mergeCell ref="AK19:AT19"/>
    <mergeCell ref="AU19:AV19"/>
    <mergeCell ref="R19:T19"/>
    <mergeCell ref="U19:V19"/>
    <mergeCell ref="W19:X19"/>
    <mergeCell ref="Y19:Z19"/>
    <mergeCell ref="AA19:AB19"/>
    <mergeCell ref="AC19:AD19"/>
    <mergeCell ref="AE19:AF19"/>
  </mergeCells>
  <conditionalFormatting sqref="B13:B67">
    <cfRule type="expression" dxfId="46" priority="29">
      <formula>WEEKNUM(TODAY())=C13</formula>
    </cfRule>
  </conditionalFormatting>
  <conditionalFormatting sqref="C13:C67">
    <cfRule type="expression" dxfId="45" priority="28">
      <formula>WEEKNUM(TODAY())=C13</formula>
    </cfRule>
  </conditionalFormatting>
  <conditionalFormatting sqref="D13:D67">
    <cfRule type="expression" dxfId="44" priority="45">
      <formula>AND(WEEKDAY(TODAY(), 2)=$D$11, WEEKNUM(TODAY())=C13)</formula>
    </cfRule>
  </conditionalFormatting>
  <conditionalFormatting sqref="E13:E67">
    <cfRule type="expression" dxfId="43" priority="46">
      <formula>AND(WEEKDAY(TODAY(), 2)=$E$11, WEEKNUM(TODAY())=C13)</formula>
    </cfRule>
  </conditionalFormatting>
  <conditionalFormatting sqref="F13:F67">
    <cfRule type="expression" dxfId="42" priority="47">
      <formula>AND(WEEKDAY(TODAY(), 2)=$F$11, WEEKNUM(TODAY())=C13)</formula>
    </cfRule>
  </conditionalFormatting>
  <conditionalFormatting sqref="G13:G67">
    <cfRule type="expression" dxfId="41" priority="48">
      <formula>AND(WEEKDAY(TODAY(), 2)=$G$11, WEEKNUM(TODAY())=C13)</formula>
    </cfRule>
  </conditionalFormatting>
  <conditionalFormatting sqref="H13:H67">
    <cfRule type="expression" dxfId="40" priority="49">
      <formula>AND(WEEKDAY(TODAY(), 2)=$H$11, WEEKNUM(TODAY())=C13)</formula>
    </cfRule>
  </conditionalFormatting>
  <conditionalFormatting sqref="K13:M67">
    <cfRule type="colorScale" priority="27">
      <colorScale>
        <cfvo type="formula" val="2.2"/>
        <cfvo type="formula" val="2.5"/>
        <cfvo type="formula" val="5"/>
        <color rgb="FFC27BA0"/>
        <color rgb="FF57BB8A"/>
        <color rgb="FFFFFF00"/>
      </colorScale>
    </cfRule>
  </conditionalFormatting>
  <conditionalFormatting sqref="R27:X32">
    <cfRule type="expression" dxfId="39" priority="3">
      <formula>MONTH(R27)&lt;&gt;MONTH($R$29)</formula>
    </cfRule>
    <cfRule type="expression" dxfId="38" priority="30">
      <formula>D13&gt;0</formula>
    </cfRule>
    <cfRule type="expression" dxfId="37" priority="15">
      <formula>AND(D13&gt;0, ISNUMBER(D13))</formula>
    </cfRule>
  </conditionalFormatting>
  <conditionalFormatting sqref="R38:X43">
    <cfRule type="expression" dxfId="36" priority="6">
      <formula>MONTH(R38)&lt;&gt;MONTH($R$39)</formula>
    </cfRule>
    <cfRule type="expression" dxfId="35" priority="34">
      <formula>IF($Q$38=$C$30, D30&gt;1, IF($Q$38=$C$31, D31&gt;1, D29&gt;1))</formula>
    </cfRule>
    <cfRule type="expression" dxfId="34" priority="19">
      <formula>IF($Q$38=$C$30, AND(D30&gt;0, ISNUMBER(D30)), IF($Q$38=$C$31, AND(D31&gt;0, ISNUMBER(D31)), AND(D29&gt;0, ISNUMBER(D29))))</formula>
    </cfRule>
  </conditionalFormatting>
  <conditionalFormatting sqref="R49:X54">
    <cfRule type="expression" dxfId="33" priority="10">
      <formula>MONTH(R49)&lt;&gt;MONTH($R$51)</formula>
    </cfRule>
    <cfRule type="expression" dxfId="32" priority="23">
      <formula>IF($Q$49=$C$48, AND(D48&gt;0, ISNUMBER(D48)), IF($Q$49=$C$49, AND(D49&gt;0, ISNUMBER(D49)), AND(D47&gt;0, ISNUMBER(D47))))</formula>
    </cfRule>
    <cfRule type="expression" dxfId="31" priority="38">
      <formula>IF($Q$49=$C$48, D48&gt;1, IF($Q$49=$C$49, D49&gt;1, D47&gt;1))</formula>
    </cfRule>
  </conditionalFormatting>
  <conditionalFormatting sqref="R9:AH20">
    <cfRule type="expression" dxfId="30" priority="42">
      <formula>MONTH(TODAY()) = MONTH($R9)</formula>
    </cfRule>
  </conditionalFormatting>
  <conditionalFormatting sqref="W9:X20">
    <cfRule type="expression" dxfId="29" priority="1">
      <formula>W9&gt;=AG9</formula>
    </cfRule>
  </conditionalFormatting>
  <conditionalFormatting sqref="Z27:AF32">
    <cfRule type="expression" dxfId="28" priority="2">
      <formula>MONTH(Z27)&lt;&gt;MONTH($Z$29)</formula>
    </cfRule>
    <cfRule type="expression" dxfId="27" priority="31">
      <formula>IF($Y$27=$C$18, D18&gt;1, IF($Y$27=$C$19, D19&gt;1, D17&gt;1))</formula>
    </cfRule>
    <cfRule type="expression" dxfId="26" priority="16">
      <formula>IF($Y$27=$C$18, AND(D18&gt;0, ISNUMBER(D18)), IF($Y$27=$C$19, AND(D19&gt;0, ISNUMBER(D19)), AND(D17&gt;0, ISNUMBER(D17))))</formula>
    </cfRule>
  </conditionalFormatting>
  <conditionalFormatting sqref="Z38:AF43">
    <cfRule type="expression" dxfId="25" priority="35">
      <formula>IF($Y$38=$C$35, D35&gt;1, IF($Y$38=$C$36, D36&gt;1, D34&gt;1))</formula>
    </cfRule>
    <cfRule type="expression" dxfId="24" priority="8">
      <formula>MONTH(Z38)&lt;&gt;MONTH($Z$39)</formula>
    </cfRule>
    <cfRule type="expression" dxfId="23" priority="20">
      <formula>IF($Y$38=$C$35, AND(D35&gt;0, ISNUMBER(D35)), IF($Y$38=$C$36, AND(D36&gt;0, ISNUMBER(D36)), AND(D34&gt;0, ISNUMBER(D34))))</formula>
    </cfRule>
  </conditionalFormatting>
  <conditionalFormatting sqref="Z49:AF54">
    <cfRule type="expression" dxfId="22" priority="11">
      <formula>MONTH(Z49)&lt;&gt;MONTH($Z$51)</formula>
    </cfRule>
    <cfRule type="expression" dxfId="21" priority="24">
      <formula>IF($Y$49=$C$53, AND(D53&gt;0, ISNUMBER(D53)), IF($Y$49=$C$54, AND(D54&gt;0, ISNUMBER(D54)), AND(D52&gt;0, ISNUMBER(D52))))</formula>
    </cfRule>
    <cfRule type="expression" dxfId="20" priority="39">
      <formula>IF($Y$49=$C$53, D53&gt;1, IF($Y$49=$C$54, D54&gt;1, D52&gt;1))</formula>
    </cfRule>
  </conditionalFormatting>
  <conditionalFormatting sqref="AH27:AN32">
    <cfRule type="expression" dxfId="19" priority="4">
      <formula>MONTH(AH27)&lt;&gt;MONTH($AH$29)</formula>
    </cfRule>
    <cfRule type="expression" dxfId="18" priority="32">
      <formula>IF($AG$27=$C$22, D22&gt;1, IF($AG$27=$C$23, D23&gt;1, D21&gt;1))</formula>
    </cfRule>
    <cfRule type="expression" dxfId="17" priority="17">
      <formula>IF($AG$27=$C$22, AND(D22&gt;0, ISNUMBER(D22)), IF($AG$27=$C$23, AND(D23&gt;0, ISNUMBER(D23)), AND(D21&gt;0, ISNUMBER(D21))))</formula>
    </cfRule>
  </conditionalFormatting>
  <conditionalFormatting sqref="AH38:AN43">
    <cfRule type="expression" dxfId="16" priority="36">
      <formula>IF($AG$38=$C$39, D39&gt;1, IF($AG$38=$C$40, D40&gt;1, D38&gt;1))</formula>
    </cfRule>
    <cfRule type="expression" dxfId="15" priority="21">
      <formula>IF($AG$38=$C$39, AND(D39&gt;0, ISNUMBER(D39)), IF($AG$38=$C$40, AND(D40&gt;0, ISNUMBER(D40)), AND(D38&gt;0, ISNUMBER(D38))))</formula>
    </cfRule>
    <cfRule type="expression" dxfId="14" priority="7">
      <formula>MONTH(AH38)&lt;&gt;MONTH($AH$39)</formula>
    </cfRule>
  </conditionalFormatting>
  <conditionalFormatting sqref="AH49:AN54">
    <cfRule type="expression" dxfId="13" priority="40">
      <formula>IF($AG$49=$C$57, D57&gt;1, IF($AG$49=$C$58, D58&gt;1, D56&gt;1))</formula>
    </cfRule>
    <cfRule type="expression" dxfId="12" priority="25">
      <formula>IF($AG$49=$C$57, AND(D57&gt;0, ISNUMBER(D57)), IF($AG$49=$C$58, AND(D58&gt;0, ISNUMBER(D58)), AND(D56&gt;0, ISNUMBER(D56))))</formula>
    </cfRule>
    <cfRule type="expression" dxfId="11" priority="12">
      <formula>MONTH(AH49)&lt;&gt;MONTH($AH$51)</formula>
    </cfRule>
  </conditionalFormatting>
  <conditionalFormatting sqref="AI9:AJ20">
    <cfRule type="cellIs" dxfId="10" priority="43" operator="equal">
      <formula>0</formula>
    </cfRule>
    <cfRule type="colorScale" priority="44">
      <colorScale>
        <cfvo type="formula" val="2.2"/>
        <cfvo type="formula" val="2.5"/>
        <cfvo type="formula" val="5"/>
        <color rgb="FFC27BA0"/>
        <color rgb="FF57BB8A"/>
        <color rgb="FFFFFF00"/>
      </colorScale>
    </cfRule>
  </conditionalFormatting>
  <conditionalFormatting sqref="AP27:AV32">
    <cfRule type="expression" dxfId="9" priority="5">
      <formula>MONTH(AP27)&lt;&gt;MONTH($AP$29)</formula>
    </cfRule>
    <cfRule type="expression" dxfId="8" priority="18">
      <formula>IF($AO$27=$C$26, AND(D26&gt;0, ISNUMBER(D26)), IF($AO$27=$C$27, AND(D27&gt;0, ISNUMBER(D27)), AND(D25&gt;0, ISNUMBER(D25))))</formula>
    </cfRule>
    <cfRule type="expression" dxfId="7" priority="33">
      <formula>IF($AO$27=$C$26, D26&gt;1, IF($AO$27=$C$27, D27&gt;1, D25&gt;1))</formula>
    </cfRule>
  </conditionalFormatting>
  <conditionalFormatting sqref="AP27:AV54 AH27:AN54 Z27:AF54 R27:X54">
    <cfRule type="timePeriod" dxfId="6" priority="14" timePeriod="today">
      <formula>FLOOR(R27,1)=TODAY()</formula>
    </cfRule>
  </conditionalFormatting>
  <conditionalFormatting sqref="AP38:AV43">
    <cfRule type="expression" dxfId="5" priority="22">
      <formula>IF($AO$38=$C$44, AND(D44&gt;0, ISNUMBER(D44)), IF($AO$38=$C$45, AND(D45&gt;0, ISNUMBER(D45)), AND(D43&gt;0, ISNUMBER(D43))))</formula>
    </cfRule>
    <cfRule type="expression" dxfId="4" priority="9">
      <formula>MONTH(AP38)&lt;&gt;MONTH($AP$39)</formula>
    </cfRule>
    <cfRule type="expression" dxfId="3" priority="37">
      <formula>IF($AO$38=$C$44, D44&gt;1, IF($AO$38=$C$45, D45&gt;1, D43&gt;1))</formula>
    </cfRule>
  </conditionalFormatting>
  <conditionalFormatting sqref="AP49:AV54">
    <cfRule type="expression" dxfId="2" priority="26">
      <formula>IF($AO$49=$C$61, AND(D61&gt;0, ISNUMBER(D61)), IF($AO$49=$C$62, AND(D62&gt;0, ISNUMBER(D62)), AND(D60&gt;0, ISNUMBER(D60))))</formula>
    </cfRule>
    <cfRule type="expression" dxfId="1" priority="41">
      <formula>IF($AO$49=$C$61, D61&gt;1, IF($AO$49=$C$62, D62&gt;1, D60&gt;1))</formula>
    </cfRule>
    <cfRule type="expression" dxfId="0" priority="13">
      <formula>MONTH(AP49)&lt;&gt;MONTH($AP$51)</formula>
    </cfRule>
  </conditionalFormatting>
  <dataValidations count="1">
    <dataValidation type="list" allowBlank="1" sqref="E8" xr:uid="{00000000-0002-0000-0300-000000000000}">
      <formula1>"January,February,March,April,May,June,July,August,September,October,November,December"</formula1>
    </dataValidation>
  </dataValidations>
  <printOptions horizontalCentered="1"/>
  <pageMargins left="0.25" right="0.25" top="0.75" bottom="0.75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58</vt:i4>
      </vt:variant>
    </vt:vector>
  </HeadingPairs>
  <TitlesOfParts>
    <vt:vector size="60" baseType="lpstr">
      <vt:lpstr>testData</vt:lpstr>
      <vt:lpstr>Copy of 2026</vt:lpstr>
      <vt:lpstr>'Copy of 2026'!HolidayDay</vt:lpstr>
      <vt:lpstr>testData!HolidayDay</vt:lpstr>
      <vt:lpstr>'Copy of 2026'!month_1</vt:lpstr>
      <vt:lpstr>testData!month_1</vt:lpstr>
      <vt:lpstr>'Copy of 2026'!month_10</vt:lpstr>
      <vt:lpstr>testData!month_10</vt:lpstr>
      <vt:lpstr>'Copy of 2026'!month_11</vt:lpstr>
      <vt:lpstr>testData!month_11</vt:lpstr>
      <vt:lpstr>'Copy of 2026'!month_12</vt:lpstr>
      <vt:lpstr>testData!month_12</vt:lpstr>
      <vt:lpstr>'Copy of 2026'!month_2</vt:lpstr>
      <vt:lpstr>testData!month_2</vt:lpstr>
      <vt:lpstr>'Copy of 2026'!month_3</vt:lpstr>
      <vt:lpstr>testData!month_3</vt:lpstr>
      <vt:lpstr>'Copy of 2026'!month_4</vt:lpstr>
      <vt:lpstr>testData!month_4</vt:lpstr>
      <vt:lpstr>'Copy of 2026'!month_5</vt:lpstr>
      <vt:lpstr>testData!month_5</vt:lpstr>
      <vt:lpstr>'Copy of 2026'!month_6</vt:lpstr>
      <vt:lpstr>testData!month_6</vt:lpstr>
      <vt:lpstr>'Copy of 2026'!month_7</vt:lpstr>
      <vt:lpstr>testData!month_7</vt:lpstr>
      <vt:lpstr>'Copy of 2026'!month_8</vt:lpstr>
      <vt:lpstr>testData!month_8</vt:lpstr>
      <vt:lpstr>'Copy of 2026'!month_9</vt:lpstr>
      <vt:lpstr>testData!month_9</vt:lpstr>
      <vt:lpstr>'Copy of 2026'!OfficeDay</vt:lpstr>
      <vt:lpstr>testData!OfficeDay</vt:lpstr>
      <vt:lpstr>'Copy of 2026'!OnCallOffDay</vt:lpstr>
      <vt:lpstr>testData!OnCallOffDay</vt:lpstr>
      <vt:lpstr>'Copy of 2026'!testing</vt:lpstr>
      <vt:lpstr>testData!testing</vt:lpstr>
      <vt:lpstr>'Copy of 2026'!VacationDay</vt:lpstr>
      <vt:lpstr>testData!VacationDay</vt:lpstr>
      <vt:lpstr>'Copy of 2026'!WW_first_1</vt:lpstr>
      <vt:lpstr>testData!WW_first_1</vt:lpstr>
      <vt:lpstr>'Copy of 2026'!WW_first_10</vt:lpstr>
      <vt:lpstr>testData!WW_first_10</vt:lpstr>
      <vt:lpstr>'Copy of 2026'!WW_first_11</vt:lpstr>
      <vt:lpstr>testData!WW_first_11</vt:lpstr>
      <vt:lpstr>'Copy of 2026'!WW_first_12</vt:lpstr>
      <vt:lpstr>testData!WW_first_12</vt:lpstr>
      <vt:lpstr>'Copy of 2026'!WW_first_2</vt:lpstr>
      <vt:lpstr>testData!WW_first_2</vt:lpstr>
      <vt:lpstr>'Copy of 2026'!WW_first_3</vt:lpstr>
      <vt:lpstr>testData!WW_first_3</vt:lpstr>
      <vt:lpstr>'Copy of 2026'!WW_first_4</vt:lpstr>
      <vt:lpstr>testData!WW_first_4</vt:lpstr>
      <vt:lpstr>'Copy of 2026'!WW_first_5</vt:lpstr>
      <vt:lpstr>testData!WW_first_5</vt:lpstr>
      <vt:lpstr>'Copy of 2026'!WW_first_6</vt:lpstr>
      <vt:lpstr>testData!WW_first_6</vt:lpstr>
      <vt:lpstr>'Copy of 2026'!WW_first_7</vt:lpstr>
      <vt:lpstr>testData!WW_first_7</vt:lpstr>
      <vt:lpstr>'Copy of 2026'!WW_first_8</vt:lpstr>
      <vt:lpstr>testData!WW_first_8</vt:lpstr>
      <vt:lpstr>'Copy of 2026'!WW_first_9</vt:lpstr>
      <vt:lpstr>testData!WW_first_9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Lilia Lobato</cp:lastModifiedBy>
  <dcterms:modified xsi:type="dcterms:W3CDTF">2026-05-11T16:15:00Z</dcterms:modified>
</cp:coreProperties>
</file>